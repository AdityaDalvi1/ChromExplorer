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075" windowHeight="8265" activeTab="1"/>
  </bookViews>
  <sheets>
    <sheet name="Sorted Intensities" sheetId="1" r:id="rId1"/>
    <sheet name="Good" sheetId="2" r:id="rId2"/>
  </sheets>
  <calcPr calcId="125725"/>
</workbook>
</file>

<file path=xl/calcChain.xml><?xml version="1.0" encoding="utf-8"?>
<calcChain xmlns="http://schemas.openxmlformats.org/spreadsheetml/2006/main">
  <c r="E149" i="2"/>
  <c r="L4" i="1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4"/>
  <c r="N3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4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3"/>
</calcChain>
</file>

<file path=xl/sharedStrings.xml><?xml version="1.0" encoding="utf-8"?>
<sst xmlns="http://schemas.openxmlformats.org/spreadsheetml/2006/main" count="9" uniqueCount="9">
  <si>
    <t>Inc</t>
  </si>
  <si>
    <t>Peak Index</t>
  </si>
  <si>
    <t>Intensity</t>
  </si>
  <si>
    <t>STD</t>
  </si>
  <si>
    <t>Computed</t>
  </si>
  <si>
    <t>Median</t>
  </si>
  <si>
    <t>Mukt</t>
  </si>
  <si>
    <t>Mean</t>
  </si>
  <si>
    <t>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</si>
</sst>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cked"/>
        <c:ser>
          <c:idx val="0"/>
          <c:order val="0"/>
          <c:val>
            <c:numRef>
              <c:f>'Sorted Intensities'!$B$2:$B$68</c:f>
              <c:numCache>
                <c:formatCode>General</c:formatCode>
                <c:ptCount val="67"/>
                <c:pt idx="0">
                  <c:v>5.00804388635256</c:v>
                </c:pt>
                <c:pt idx="1">
                  <c:v>5.0990551597708098</c:v>
                </c:pt>
                <c:pt idx="2">
                  <c:v>5.1413781104214697</c:v>
                </c:pt>
                <c:pt idx="3">
                  <c:v>5.1957329428073198</c:v>
                </c:pt>
                <c:pt idx="4">
                  <c:v>5.3218233414030003</c:v>
                </c:pt>
                <c:pt idx="5">
                  <c:v>5.3982060749618297</c:v>
                </c:pt>
                <c:pt idx="6">
                  <c:v>5.41791893631998</c:v>
                </c:pt>
                <c:pt idx="7">
                  <c:v>5.4474261480145598</c:v>
                </c:pt>
                <c:pt idx="8">
                  <c:v>5.4885370578989399</c:v>
                </c:pt>
                <c:pt idx="9">
                  <c:v>5.4930377237791497</c:v>
                </c:pt>
                <c:pt idx="10">
                  <c:v>5.5311778314230997</c:v>
                </c:pt>
                <c:pt idx="11">
                  <c:v>5.7244200697193204</c:v>
                </c:pt>
                <c:pt idx="12">
                  <c:v>5.7573876273176596</c:v>
                </c:pt>
                <c:pt idx="13">
                  <c:v>5.82311988317581</c:v>
                </c:pt>
                <c:pt idx="14">
                  <c:v>5.8376730440307298</c:v>
                </c:pt>
                <c:pt idx="15">
                  <c:v>5.9869591753350697</c:v>
                </c:pt>
                <c:pt idx="16">
                  <c:v>6.0215648176786001</c:v>
                </c:pt>
                <c:pt idx="17">
                  <c:v>6.0304669780650704</c:v>
                </c:pt>
                <c:pt idx="18">
                  <c:v>6.3124496774656196</c:v>
                </c:pt>
                <c:pt idx="19">
                  <c:v>6.4478767156084302</c:v>
                </c:pt>
                <c:pt idx="20">
                  <c:v>6.5160999301225999</c:v>
                </c:pt>
                <c:pt idx="21">
                  <c:v>6.5902722884016098</c:v>
                </c:pt>
                <c:pt idx="22">
                  <c:v>6.7849006757969601</c:v>
                </c:pt>
                <c:pt idx="23">
                  <c:v>6.8730662927774402</c:v>
                </c:pt>
                <c:pt idx="24">
                  <c:v>6.9092234072759604</c:v>
                </c:pt>
                <c:pt idx="25">
                  <c:v>6.9211255275480497</c:v>
                </c:pt>
                <c:pt idx="26">
                  <c:v>6.9678049803955604</c:v>
                </c:pt>
                <c:pt idx="27">
                  <c:v>7.0396022189601499</c:v>
                </c:pt>
                <c:pt idx="28">
                  <c:v>7.1576948766794901</c:v>
                </c:pt>
                <c:pt idx="29">
                  <c:v>7.2894235945784596</c:v>
                </c:pt>
                <c:pt idx="30">
                  <c:v>7.6345834081536497</c:v>
                </c:pt>
                <c:pt idx="31">
                  <c:v>7.8877117547363902</c:v>
                </c:pt>
                <c:pt idx="32">
                  <c:v>7.9289995443100096</c:v>
                </c:pt>
                <c:pt idx="33">
                  <c:v>7.9634455539512601</c:v>
                </c:pt>
                <c:pt idx="34">
                  <c:v>8.5264769857616507</c:v>
                </c:pt>
                <c:pt idx="35">
                  <c:v>8.6498823931781708</c:v>
                </c:pt>
                <c:pt idx="36">
                  <c:v>9.3810279110994497</c:v>
                </c:pt>
                <c:pt idx="37">
                  <c:v>9.9180961721963996</c:v>
                </c:pt>
                <c:pt idx="38">
                  <c:v>10.696952356016</c:v>
                </c:pt>
                <c:pt idx="39">
                  <c:v>10.7810064577472</c:v>
                </c:pt>
                <c:pt idx="40">
                  <c:v>11.3624446234386</c:v>
                </c:pt>
                <c:pt idx="41">
                  <c:v>11.567679170327599</c:v>
                </c:pt>
                <c:pt idx="42">
                  <c:v>12.181834804792</c:v>
                </c:pt>
                <c:pt idx="43">
                  <c:v>12.308977819968399</c:v>
                </c:pt>
                <c:pt idx="44">
                  <c:v>12.3124250847225</c:v>
                </c:pt>
                <c:pt idx="45">
                  <c:v>12.44941948798</c:v>
                </c:pt>
                <c:pt idx="46">
                  <c:v>12.587885860140901</c:v>
                </c:pt>
                <c:pt idx="47">
                  <c:v>13.0562892065279</c:v>
                </c:pt>
                <c:pt idx="48">
                  <c:v>13.2394905978908</c:v>
                </c:pt>
                <c:pt idx="49">
                  <c:v>13.479314741645901</c:v>
                </c:pt>
                <c:pt idx="50">
                  <c:v>14.0162392958448</c:v>
                </c:pt>
                <c:pt idx="51">
                  <c:v>14.092716285816399</c:v>
                </c:pt>
                <c:pt idx="52">
                  <c:v>14.379787549814001</c:v>
                </c:pt>
                <c:pt idx="53">
                  <c:v>16.508150344390501</c:v>
                </c:pt>
                <c:pt idx="54">
                  <c:v>17.230211102465599</c:v>
                </c:pt>
                <c:pt idx="55">
                  <c:v>18.299586471564702</c:v>
                </c:pt>
                <c:pt idx="56">
                  <c:v>20.163290450935001</c:v>
                </c:pt>
                <c:pt idx="57">
                  <c:v>20.252882673340501</c:v>
                </c:pt>
                <c:pt idx="58">
                  <c:v>20.321837596922698</c:v>
                </c:pt>
                <c:pt idx="59">
                  <c:v>22.5091208077068</c:v>
                </c:pt>
                <c:pt idx="60">
                  <c:v>23.923846253686101</c:v>
                </c:pt>
                <c:pt idx="61">
                  <c:v>25.338590838511799</c:v>
                </c:pt>
                <c:pt idx="62">
                  <c:v>28.723004544448202</c:v>
                </c:pt>
                <c:pt idx="63">
                  <c:v>30.863811824284301</c:v>
                </c:pt>
                <c:pt idx="64">
                  <c:v>32.179551168443702</c:v>
                </c:pt>
                <c:pt idx="65">
                  <c:v>43.733114650475997</c:v>
                </c:pt>
                <c:pt idx="66">
                  <c:v>673.23656246871803</c:v>
                </c:pt>
              </c:numCache>
            </c:numRef>
          </c:val>
        </c:ser>
        <c:marker val="1"/>
        <c:axId val="201908224"/>
        <c:axId val="201909760"/>
      </c:lineChart>
      <c:catAx>
        <c:axId val="201908224"/>
        <c:scaling>
          <c:orientation val="minMax"/>
        </c:scaling>
        <c:axPos val="b"/>
        <c:tickLblPos val="nextTo"/>
        <c:crossAx val="201909760"/>
        <c:crosses val="autoZero"/>
        <c:auto val="1"/>
        <c:lblAlgn val="ctr"/>
        <c:lblOffset val="100"/>
      </c:catAx>
      <c:valAx>
        <c:axId val="201909760"/>
        <c:scaling>
          <c:orientation val="minMax"/>
        </c:scaling>
        <c:axPos val="l"/>
        <c:majorGridlines/>
        <c:numFmt formatCode="General" sourceLinked="1"/>
        <c:tickLblPos val="nextTo"/>
        <c:crossAx val="2019082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val>
            <c:numRef>
              <c:f>'Sorted Intensities'!$E$3:$E$68</c:f>
              <c:numCache>
                <c:formatCode>General</c:formatCode>
                <c:ptCount val="66"/>
                <c:pt idx="0">
                  <c:v>4.5505636709115699E-2</c:v>
                </c:pt>
                <c:pt idx="1">
                  <c:v>5.5630027212546299E-2</c:v>
                </c:pt>
                <c:pt idx="2">
                  <c:v>6.8638784042967804E-2</c:v>
                </c:pt>
                <c:pt idx="3">
                  <c:v>0.104292473738002</c:v>
                </c:pt>
                <c:pt idx="4">
                  <c:v>0.131912334108679</c:v>
                </c:pt>
                <c:pt idx="5">
                  <c:v>0.14509442168408199</c:v>
                </c:pt>
                <c:pt idx="6">
                  <c:v>0.15421527735835</c:v>
                </c:pt>
                <c:pt idx="7">
                  <c:v>0.16305433884003101</c:v>
                </c:pt>
                <c:pt idx="8">
                  <c:v>0.16739387445591</c:v>
                </c:pt>
                <c:pt idx="9">
                  <c:v>0.17276465528123999</c:v>
                </c:pt>
                <c:pt idx="10">
                  <c:v>0.199321353674387</c:v>
                </c:pt>
                <c:pt idx="11">
                  <c:v>0.21940316648319599</c:v>
                </c:pt>
                <c:pt idx="12">
                  <c:v>0.23946859196596601</c:v>
                </c:pt>
                <c:pt idx="13">
                  <c:v>0.25396610400398401</c:v>
                </c:pt>
                <c:pt idx="14">
                  <c:v>0.27863183223719701</c:v>
                </c:pt>
                <c:pt idx="15">
                  <c:v>0.29889282288182301</c:v>
                </c:pt>
                <c:pt idx="16">
                  <c:v>0.313865620729331</c:v>
                </c:pt>
                <c:pt idx="17">
                  <c:v>0.35080090814577197</c:v>
                </c:pt>
                <c:pt idx="18">
                  <c:v>0.39065925146205299</c:v>
                </c:pt>
                <c:pt idx="19">
                  <c:v>0.42593742899582898</c:v>
                </c:pt>
                <c:pt idx="20">
                  <c:v>0.45846181604464697</c:v>
                </c:pt>
                <c:pt idx="21">
                  <c:v>0.49921863032382402</c:v>
                </c:pt>
                <c:pt idx="22">
                  <c:v>0.53731770966191506</c:v>
                </c:pt>
                <c:pt idx="23">
                  <c:v>0.56941728053770202</c:v>
                </c:pt>
                <c:pt idx="24">
                  <c:v>0.59538907560710097</c:v>
                </c:pt>
                <c:pt idx="25">
                  <c:v>0.618846323625179</c:v>
                </c:pt>
                <c:pt idx="26">
                  <c:v>0.64177416887844596</c:v>
                </c:pt>
                <c:pt idx="27">
                  <c:v>0.66696664697486396</c:v>
                </c:pt>
                <c:pt idx="28">
                  <c:v>0.69490463217170295</c:v>
                </c:pt>
                <c:pt idx="29">
                  <c:v>0.73864000397044305</c:v>
                </c:pt>
                <c:pt idx="30">
                  <c:v>0.79060306856493001</c:v>
                </c:pt>
                <c:pt idx="31">
                  <c:v>0.83562939202320896</c:v>
                </c:pt>
                <c:pt idx="32">
                  <c:v>0.87483814878185195</c:v>
                </c:pt>
                <c:pt idx="33">
                  <c:v>0.94109002035091405</c:v>
                </c:pt>
                <c:pt idx="34">
                  <c:v>1.0033255039200699</c:v>
                </c:pt>
                <c:pt idx="35">
                  <c:v>1.1019715064181499</c:v>
                </c:pt>
                <c:pt idx="36">
                  <c:v>1.21921183289047</c:v>
                </c:pt>
                <c:pt idx="37">
                  <c:v>1.36936461725976</c:v>
                </c:pt>
                <c:pt idx="38">
                  <c:v>1.49675487683044</c:v>
                </c:pt>
                <c:pt idx="39">
                  <c:v>1.63918766782569</c:v>
                </c:pt>
                <c:pt idx="40">
                  <c:v>1.7699505465994001</c:v>
                </c:pt>
                <c:pt idx="41">
                  <c:v>1.91591843487336</c:v>
                </c:pt>
                <c:pt idx="42">
                  <c:v>2.0460052840283001</c:v>
                </c:pt>
                <c:pt idx="43">
                  <c:v>2.1571655061480102</c:v>
                </c:pt>
                <c:pt idx="44">
                  <c:v>2.2595960084416302</c:v>
                </c:pt>
                <c:pt idx="45">
                  <c:v>2.3547952091223299</c:v>
                </c:pt>
                <c:pt idx="46">
                  <c:v>2.4584761925689098</c:v>
                </c:pt>
                <c:pt idx="47">
                  <c:v>2.5569996260171699</c:v>
                </c:pt>
                <c:pt idx="48">
                  <c:v>2.65343676987758</c:v>
                </c:pt>
                <c:pt idx="49">
                  <c:v>2.7603778704987301</c:v>
                </c:pt>
                <c:pt idx="50">
                  <c:v>2.8577463234285898</c:v>
                </c:pt>
                <c:pt idx="51">
                  <c:v>2.9550226207115502</c:v>
                </c:pt>
                <c:pt idx="52">
                  <c:v>3.1314676712982199</c:v>
                </c:pt>
                <c:pt idx="53">
                  <c:v>3.3188522833191501</c:v>
                </c:pt>
                <c:pt idx="54">
                  <c:v>3.5321851911438</c:v>
                </c:pt>
                <c:pt idx="55">
                  <c:v>3.8082616905394699</c:v>
                </c:pt>
                <c:pt idx="56">
                  <c:v>4.05186259775948</c:v>
                </c:pt>
                <c:pt idx="57">
                  <c:v>4.2685926391664397</c:v>
                </c:pt>
                <c:pt idx="58">
                  <c:v>4.5565340692776504</c:v>
                </c:pt>
                <c:pt idx="59">
                  <c:v>4.8735424269510803</c:v>
                </c:pt>
                <c:pt idx="60">
                  <c:v>5.2158539903976102</c:v>
                </c:pt>
                <c:pt idx="61">
                  <c:v>5.6767839194031202</c:v>
                </c:pt>
                <c:pt idx="62">
                  <c:v>6.18088305189415</c:v>
                </c:pt>
                <c:pt idx="63">
                  <c:v>6.6807312249750304</c:v>
                </c:pt>
                <c:pt idx="64">
                  <c:v>7.7430884695314903</c:v>
                </c:pt>
                <c:pt idx="65">
                  <c:v>80.607457865640995</c:v>
                </c:pt>
              </c:numCache>
            </c:numRef>
          </c:val>
        </c:ser>
        <c:marker val="1"/>
        <c:axId val="201929472"/>
        <c:axId val="201931008"/>
      </c:lineChart>
      <c:catAx>
        <c:axId val="201929472"/>
        <c:scaling>
          <c:orientation val="minMax"/>
        </c:scaling>
        <c:axPos val="b"/>
        <c:tickLblPos val="nextTo"/>
        <c:crossAx val="201931008"/>
        <c:crosses val="autoZero"/>
        <c:auto val="1"/>
        <c:lblAlgn val="ctr"/>
        <c:lblOffset val="100"/>
      </c:catAx>
      <c:valAx>
        <c:axId val="201931008"/>
        <c:scaling>
          <c:orientation val="minMax"/>
        </c:scaling>
        <c:axPos val="l"/>
        <c:majorGridlines/>
        <c:numFmt formatCode="General" sourceLinked="1"/>
        <c:tickLblPos val="nextTo"/>
        <c:crossAx val="2019294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val>
            <c:numRef>
              <c:f>Good!$B$1:$B$148</c:f>
              <c:numCache>
                <c:formatCode>General</c:formatCode>
                <c:ptCount val="148"/>
                <c:pt idx="0">
                  <c:v>5.0201723890616199</c:v>
                </c:pt>
                <c:pt idx="1">
                  <c:v>5.0525487898689097</c:v>
                </c:pt>
                <c:pt idx="2">
                  <c:v>5.0603425795030104</c:v>
                </c:pt>
                <c:pt idx="3">
                  <c:v>5.0764607392540597</c:v>
                </c:pt>
                <c:pt idx="4">
                  <c:v>5.0934469479923301</c:v>
                </c:pt>
                <c:pt idx="5">
                  <c:v>5.1052369456975404</c:v>
                </c:pt>
                <c:pt idx="6">
                  <c:v>5.1211883733972599</c:v>
                </c:pt>
                <c:pt idx="7">
                  <c:v>5.1421040034906298</c:v>
                </c:pt>
                <c:pt idx="8">
                  <c:v>5.1621166429295702</c:v>
                </c:pt>
                <c:pt idx="9">
                  <c:v>5.1953186257422699</c:v>
                </c:pt>
                <c:pt idx="10">
                  <c:v>5.2432328387188498</c:v>
                </c:pt>
                <c:pt idx="11">
                  <c:v>5.2433302388845</c:v>
                </c:pt>
                <c:pt idx="12">
                  <c:v>5.2615157221483404</c:v>
                </c:pt>
                <c:pt idx="13">
                  <c:v>5.2881166919208598</c:v>
                </c:pt>
                <c:pt idx="14">
                  <c:v>5.3111602703448204</c:v>
                </c:pt>
                <c:pt idx="15">
                  <c:v>5.37553384916355</c:v>
                </c:pt>
                <c:pt idx="16">
                  <c:v>5.4119385093557097</c:v>
                </c:pt>
                <c:pt idx="17">
                  <c:v>5.4375247545099796</c:v>
                </c:pt>
                <c:pt idx="18">
                  <c:v>5.4520635240811197</c:v>
                </c:pt>
                <c:pt idx="19">
                  <c:v>5.47784948900276</c:v>
                </c:pt>
                <c:pt idx="20">
                  <c:v>5.5004823478532003</c:v>
                </c:pt>
                <c:pt idx="21">
                  <c:v>5.5157519978141902</c:v>
                </c:pt>
                <c:pt idx="22">
                  <c:v>5.5389313909691698</c:v>
                </c:pt>
                <c:pt idx="23">
                  <c:v>5.7309412984301096</c:v>
                </c:pt>
                <c:pt idx="24">
                  <c:v>5.7458387038406702</c:v>
                </c:pt>
                <c:pt idx="25">
                  <c:v>5.7990597056957398</c:v>
                </c:pt>
                <c:pt idx="26">
                  <c:v>5.8021343898138804</c:v>
                </c:pt>
                <c:pt idx="27">
                  <c:v>5.8060168626167199</c:v>
                </c:pt>
                <c:pt idx="28">
                  <c:v>5.8370130522026002</c:v>
                </c:pt>
                <c:pt idx="29">
                  <c:v>5.8565288867652399</c:v>
                </c:pt>
                <c:pt idx="30">
                  <c:v>5.89274573017377</c:v>
                </c:pt>
                <c:pt idx="31">
                  <c:v>5.8931711322508704</c:v>
                </c:pt>
                <c:pt idx="32">
                  <c:v>5.8955995794210203</c:v>
                </c:pt>
                <c:pt idx="33">
                  <c:v>5.9181529201832497</c:v>
                </c:pt>
                <c:pt idx="34">
                  <c:v>5.9183202465332103</c:v>
                </c:pt>
                <c:pt idx="35">
                  <c:v>5.9764567731970102</c:v>
                </c:pt>
                <c:pt idx="36">
                  <c:v>6.08133581639916</c:v>
                </c:pt>
                <c:pt idx="37">
                  <c:v>6.0896606434470799</c:v>
                </c:pt>
                <c:pt idx="38">
                  <c:v>6.1436172885357196</c:v>
                </c:pt>
                <c:pt idx="39">
                  <c:v>6.1670754253332003</c:v>
                </c:pt>
                <c:pt idx="40">
                  <c:v>6.1995326836589202</c:v>
                </c:pt>
                <c:pt idx="41">
                  <c:v>6.2383195186517</c:v>
                </c:pt>
                <c:pt idx="42">
                  <c:v>6.2391287078552704</c:v>
                </c:pt>
                <c:pt idx="43">
                  <c:v>6.2732537743944699</c:v>
                </c:pt>
                <c:pt idx="44">
                  <c:v>6.2960603573771099</c:v>
                </c:pt>
                <c:pt idx="45">
                  <c:v>6.3555259094468299</c:v>
                </c:pt>
                <c:pt idx="46">
                  <c:v>6.3631757740546098</c:v>
                </c:pt>
                <c:pt idx="47">
                  <c:v>6.3823105067260197</c:v>
                </c:pt>
                <c:pt idx="48">
                  <c:v>6.3933329670308598</c:v>
                </c:pt>
                <c:pt idx="49">
                  <c:v>6.41411495348882</c:v>
                </c:pt>
                <c:pt idx="50">
                  <c:v>6.4234815457830301</c:v>
                </c:pt>
                <c:pt idx="51">
                  <c:v>6.4678404864022099</c:v>
                </c:pt>
                <c:pt idx="52">
                  <c:v>6.5186186205315</c:v>
                </c:pt>
                <c:pt idx="53">
                  <c:v>6.6568557566530604</c:v>
                </c:pt>
                <c:pt idx="54">
                  <c:v>6.7408495784360598</c:v>
                </c:pt>
                <c:pt idx="55">
                  <c:v>6.80445107399047</c:v>
                </c:pt>
                <c:pt idx="56">
                  <c:v>6.8636967567479497</c:v>
                </c:pt>
                <c:pt idx="57">
                  <c:v>6.8886255539312398</c:v>
                </c:pt>
                <c:pt idx="58">
                  <c:v>6.9886519990932898</c:v>
                </c:pt>
                <c:pt idx="59">
                  <c:v>6.9980234481495502</c:v>
                </c:pt>
                <c:pt idx="60">
                  <c:v>7.0126534750857603</c:v>
                </c:pt>
                <c:pt idx="61">
                  <c:v>7.0414313079918598</c:v>
                </c:pt>
                <c:pt idx="62">
                  <c:v>7.0425687591529202</c:v>
                </c:pt>
                <c:pt idx="63">
                  <c:v>7.1885983249907301</c:v>
                </c:pt>
                <c:pt idx="64">
                  <c:v>7.19251956786304</c:v>
                </c:pt>
                <c:pt idx="65">
                  <c:v>7.3142868598963204</c:v>
                </c:pt>
                <c:pt idx="66">
                  <c:v>7.4241071349547703</c:v>
                </c:pt>
                <c:pt idx="67">
                  <c:v>7.5033156987145997</c:v>
                </c:pt>
                <c:pt idx="68">
                  <c:v>7.5312247602151698</c:v>
                </c:pt>
                <c:pt idx="69">
                  <c:v>7.5322869538309103</c:v>
                </c:pt>
                <c:pt idx="70">
                  <c:v>7.5552467992154799</c:v>
                </c:pt>
                <c:pt idx="71">
                  <c:v>7.5579862397044497</c:v>
                </c:pt>
                <c:pt idx="72">
                  <c:v>7.6037344494524097</c:v>
                </c:pt>
                <c:pt idx="73">
                  <c:v>7.6477895693686797</c:v>
                </c:pt>
                <c:pt idx="74">
                  <c:v>7.6799758693324396</c:v>
                </c:pt>
                <c:pt idx="75">
                  <c:v>7.6978025974495701</c:v>
                </c:pt>
                <c:pt idx="76">
                  <c:v>7.7114490288349202</c:v>
                </c:pt>
                <c:pt idx="77">
                  <c:v>7.7595130035256199</c:v>
                </c:pt>
                <c:pt idx="78">
                  <c:v>7.8048059077552603</c:v>
                </c:pt>
                <c:pt idx="79">
                  <c:v>7.9334761850331201</c:v>
                </c:pt>
                <c:pt idx="80">
                  <c:v>7.9339575418018997</c:v>
                </c:pt>
                <c:pt idx="81">
                  <c:v>8.0040058728800396</c:v>
                </c:pt>
                <c:pt idx="82">
                  <c:v>8.0470094857697791</c:v>
                </c:pt>
                <c:pt idx="83">
                  <c:v>8.1301270705133497</c:v>
                </c:pt>
                <c:pt idx="84">
                  <c:v>8.2706736164648404</c:v>
                </c:pt>
                <c:pt idx="85">
                  <c:v>8.3465942407324807</c:v>
                </c:pt>
                <c:pt idx="86">
                  <c:v>8.4141471201925295</c:v>
                </c:pt>
                <c:pt idx="87">
                  <c:v>8.6136871243933992</c:v>
                </c:pt>
                <c:pt idx="88">
                  <c:v>8.6524549517944305</c:v>
                </c:pt>
                <c:pt idx="89">
                  <c:v>8.6774178317886701</c:v>
                </c:pt>
                <c:pt idx="90">
                  <c:v>8.6949058003545403</c:v>
                </c:pt>
                <c:pt idx="91">
                  <c:v>8.7553069574289708</c:v>
                </c:pt>
                <c:pt idx="92">
                  <c:v>8.7613049866647703</c:v>
                </c:pt>
                <c:pt idx="93">
                  <c:v>8.8105550762640004</c:v>
                </c:pt>
                <c:pt idx="94">
                  <c:v>8.9692917184855698</c:v>
                </c:pt>
                <c:pt idx="95">
                  <c:v>9.0278274081340797</c:v>
                </c:pt>
                <c:pt idx="96">
                  <c:v>9.1881262625424203</c:v>
                </c:pt>
                <c:pt idx="97">
                  <c:v>9.2905624060268206</c:v>
                </c:pt>
                <c:pt idx="98">
                  <c:v>9.3227356602536897</c:v>
                </c:pt>
                <c:pt idx="99">
                  <c:v>9.4013085172492392</c:v>
                </c:pt>
                <c:pt idx="100">
                  <c:v>9.40362787901757</c:v>
                </c:pt>
                <c:pt idx="101">
                  <c:v>9.4060223925108595</c:v>
                </c:pt>
                <c:pt idx="102">
                  <c:v>9.4177804567101298</c:v>
                </c:pt>
                <c:pt idx="103">
                  <c:v>9.6206614940594299</c:v>
                </c:pt>
                <c:pt idx="104">
                  <c:v>9.78282997454947</c:v>
                </c:pt>
                <c:pt idx="105">
                  <c:v>9.7880659122830593</c:v>
                </c:pt>
                <c:pt idx="106">
                  <c:v>9.8596604648534694</c:v>
                </c:pt>
                <c:pt idx="107">
                  <c:v>10.023005379839701</c:v>
                </c:pt>
                <c:pt idx="108">
                  <c:v>10.0592226804344</c:v>
                </c:pt>
                <c:pt idx="109">
                  <c:v>10.131587599539101</c:v>
                </c:pt>
                <c:pt idx="110">
                  <c:v>10.146172415412</c:v>
                </c:pt>
                <c:pt idx="111">
                  <c:v>10.246072383916401</c:v>
                </c:pt>
                <c:pt idx="112">
                  <c:v>10.286013373979801</c:v>
                </c:pt>
                <c:pt idx="113">
                  <c:v>10.558609016228401</c:v>
                </c:pt>
                <c:pt idx="114">
                  <c:v>10.613864110353701</c:v>
                </c:pt>
                <c:pt idx="115">
                  <c:v>10.631343506247299</c:v>
                </c:pt>
                <c:pt idx="116">
                  <c:v>10.6462109750727</c:v>
                </c:pt>
                <c:pt idx="117">
                  <c:v>10.7853710676519</c:v>
                </c:pt>
                <c:pt idx="118">
                  <c:v>10.833655344728999</c:v>
                </c:pt>
                <c:pt idx="119">
                  <c:v>10.857801327392499</c:v>
                </c:pt>
                <c:pt idx="120">
                  <c:v>10.911624035509099</c:v>
                </c:pt>
                <c:pt idx="121">
                  <c:v>10.9513492472315</c:v>
                </c:pt>
                <c:pt idx="122">
                  <c:v>11.0831560685782</c:v>
                </c:pt>
                <c:pt idx="123">
                  <c:v>11.148975900821901</c:v>
                </c:pt>
                <c:pt idx="124">
                  <c:v>11.2200512327406</c:v>
                </c:pt>
                <c:pt idx="125">
                  <c:v>11.224591343947001</c:v>
                </c:pt>
                <c:pt idx="126">
                  <c:v>11.4482216441749</c:v>
                </c:pt>
                <c:pt idx="127">
                  <c:v>11.4840834870165</c:v>
                </c:pt>
                <c:pt idx="128">
                  <c:v>11.632410183569901</c:v>
                </c:pt>
                <c:pt idx="129">
                  <c:v>11.7364791843895</c:v>
                </c:pt>
                <c:pt idx="130">
                  <c:v>11.7800273161871</c:v>
                </c:pt>
                <c:pt idx="131">
                  <c:v>11.98043736212</c:v>
                </c:pt>
                <c:pt idx="132">
                  <c:v>13.302576699508201</c:v>
                </c:pt>
                <c:pt idx="133">
                  <c:v>13.7051107721005</c:v>
                </c:pt>
                <c:pt idx="134">
                  <c:v>15.2649044261686</c:v>
                </c:pt>
                <c:pt idx="135">
                  <c:v>15.345333475000301</c:v>
                </c:pt>
                <c:pt idx="136">
                  <c:v>15.5152207266557</c:v>
                </c:pt>
                <c:pt idx="137">
                  <c:v>15.5712434017587</c:v>
                </c:pt>
                <c:pt idx="138">
                  <c:v>16.594265001664301</c:v>
                </c:pt>
                <c:pt idx="139">
                  <c:v>17.301585445502099</c:v>
                </c:pt>
                <c:pt idx="140">
                  <c:v>19.504664390137201</c:v>
                </c:pt>
                <c:pt idx="141">
                  <c:v>20.618068595924498</c:v>
                </c:pt>
                <c:pt idx="142">
                  <c:v>25.971826731016598</c:v>
                </c:pt>
                <c:pt idx="143">
                  <c:v>33.039849293306098</c:v>
                </c:pt>
                <c:pt idx="144">
                  <c:v>62.144097856499499</c:v>
                </c:pt>
                <c:pt idx="145">
                  <c:v>65.638919784327896</c:v>
                </c:pt>
                <c:pt idx="146">
                  <c:v>73.967729874127201</c:v>
                </c:pt>
                <c:pt idx="147">
                  <c:v>267.47439008997901</c:v>
                </c:pt>
              </c:numCache>
            </c:numRef>
          </c:val>
        </c:ser>
        <c:marker val="1"/>
        <c:axId val="77239808"/>
        <c:axId val="77241344"/>
      </c:lineChart>
      <c:catAx>
        <c:axId val="77239808"/>
        <c:scaling>
          <c:orientation val="minMax"/>
        </c:scaling>
        <c:axPos val="b"/>
        <c:tickLblPos val="nextTo"/>
        <c:crossAx val="77241344"/>
        <c:crosses val="autoZero"/>
        <c:auto val="1"/>
        <c:lblAlgn val="ctr"/>
        <c:lblOffset val="100"/>
      </c:catAx>
      <c:valAx>
        <c:axId val="77241344"/>
        <c:scaling>
          <c:orientation val="minMax"/>
        </c:scaling>
        <c:axPos val="l"/>
        <c:majorGridlines/>
        <c:numFmt formatCode="General" sourceLinked="1"/>
        <c:tickLblPos val="nextTo"/>
        <c:crossAx val="772398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val>
            <c:numRef>
              <c:f>Good!$E$2:$E$148</c:f>
              <c:numCache>
                <c:formatCode>General</c:formatCode>
                <c:ptCount val="147"/>
                <c:pt idx="0">
                  <c:v>1.6188200403875402E-2</c:v>
                </c:pt>
                <c:pt idx="1">
                  <c:v>1.7392906236655199E-2</c:v>
                </c:pt>
                <c:pt idx="2">
                  <c:v>2.0497825266901401E-2</c:v>
                </c:pt>
                <c:pt idx="3">
                  <c:v>2.46161120206723E-2</c:v>
                </c:pt>
                <c:pt idx="4">
                  <c:v>2.7960002709688299E-2</c:v>
                </c:pt>
                <c:pt idx="5">
                  <c:v>3.1875347518787601E-2</c:v>
                </c:pt>
                <c:pt idx="6">
                  <c:v>3.7045459246790202E-2</c:v>
                </c:pt>
                <c:pt idx="7">
                  <c:v>4.2702829386577802E-2</c:v>
                </c:pt>
                <c:pt idx="8">
                  <c:v>5.0895307538969099E-2</c:v>
                </c:pt>
                <c:pt idx="9">
                  <c:v>6.3107383565451994E-2</c:v>
                </c:pt>
                <c:pt idx="10">
                  <c:v>6.9970995128601193E-2</c:v>
                </c:pt>
                <c:pt idx="11">
                  <c:v>7.6273931989375404E-2</c:v>
                </c:pt>
                <c:pt idx="12">
                  <c:v>8.3204343126286801E-2</c:v>
                </c:pt>
                <c:pt idx="13">
                  <c:v>9.0154551167292596E-2</c:v>
                </c:pt>
                <c:pt idx="14">
                  <c:v>0.101891529653753</c:v>
                </c:pt>
                <c:pt idx="15">
                  <c:v>0.113836583526272</c:v>
                </c:pt>
                <c:pt idx="16">
                  <c:v>0.12472185835047001</c:v>
                </c:pt>
                <c:pt idx="17">
                  <c:v>0.13380220680465499</c:v>
                </c:pt>
                <c:pt idx="18">
                  <c:v>0.14258811869376001</c:v>
                </c:pt>
                <c:pt idx="19">
                  <c:v>0.150884347499944</c:v>
                </c:pt>
                <c:pt idx="20">
                  <c:v>0.15824021766770399</c:v>
                </c:pt>
                <c:pt idx="21">
                  <c:v>0.16544322860372099</c:v>
                </c:pt>
                <c:pt idx="22">
                  <c:v>0.18685269878938399</c:v>
                </c:pt>
                <c:pt idx="23">
                  <c:v>0.204220388256141</c:v>
                </c:pt>
                <c:pt idx="24">
                  <c:v>0.221855155179841</c:v>
                </c:pt>
                <c:pt idx="25">
                  <c:v>0.23586340941713499</c:v>
                </c:pt>
                <c:pt idx="26">
                  <c:v>0.247270016939521</c:v>
                </c:pt>
                <c:pt idx="27">
                  <c:v>0.258330571247883</c:v>
                </c:pt>
                <c:pt idx="28">
                  <c:v>0.26842895771418801</c:v>
                </c:pt>
                <c:pt idx="29">
                  <c:v>0.27867169909730599</c:v>
                </c:pt>
                <c:pt idx="30">
                  <c:v>0.28713068667455799</c:v>
                </c:pt>
                <c:pt idx="31">
                  <c:v>0.29425131900594698</c:v>
                </c:pt>
                <c:pt idx="32">
                  <c:v>0.30117954748085501</c:v>
                </c:pt>
                <c:pt idx="33">
                  <c:v>0.30697340776724402</c:v>
                </c:pt>
                <c:pt idx="34">
                  <c:v>0.314250332902066</c:v>
                </c:pt>
                <c:pt idx="35">
                  <c:v>0.325115981133968</c:v>
                </c:pt>
                <c:pt idx="36">
                  <c:v>0.33472658166260699</c:v>
                </c:pt>
                <c:pt idx="37">
                  <c:v>0.34531353570062201</c:v>
                </c:pt>
                <c:pt idx="38">
                  <c:v>0.35540244379699398</c:v>
                </c:pt>
                <c:pt idx="39">
                  <c:v>0.365444027117932</c:v>
                </c:pt>
                <c:pt idx="40">
                  <c:v>0.37570833011633697</c:v>
                </c:pt>
                <c:pt idx="41">
                  <c:v>0.38463584195317202</c:v>
                </c:pt>
                <c:pt idx="42">
                  <c:v>0.39368585255869698</c:v>
                </c:pt>
                <c:pt idx="43">
                  <c:v>0.40241939537965699</c:v>
                </c:pt>
                <c:pt idx="44">
                  <c:v>0.41223242654859599</c:v>
                </c:pt>
                <c:pt idx="45">
                  <c:v>0.42111826755037302</c:v>
                </c:pt>
                <c:pt idx="46">
                  <c:v>0.42959371096475701</c:v>
                </c:pt>
                <c:pt idx="47">
                  <c:v>0.437434059875356</c:v>
                </c:pt>
                <c:pt idx="48">
                  <c:v>0.44502686024378602</c:v>
                </c:pt>
                <c:pt idx="49">
                  <c:v>0.452042126230218</c:v>
                </c:pt>
                <c:pt idx="50">
                  <c:v>0.45960858588695702</c:v>
                </c:pt>
                <c:pt idx="51">
                  <c:v>0.46789060128342402</c:v>
                </c:pt>
                <c:pt idx="52">
                  <c:v>0.47974571756847501</c:v>
                </c:pt>
                <c:pt idx="53">
                  <c:v>0.49321523006745099</c:v>
                </c:pt>
                <c:pt idx="54">
                  <c:v>0.50746295153446497</c:v>
                </c:pt>
                <c:pt idx="55">
                  <c:v>0.52226506375251702</c:v>
                </c:pt>
                <c:pt idx="56">
                  <c:v>0.53638318156624398</c:v>
                </c:pt>
                <c:pt idx="57">
                  <c:v>0.55243632117033703</c:v>
                </c:pt>
                <c:pt idx="58">
                  <c:v>0.56718664056407497</c:v>
                </c:pt>
                <c:pt idx="59">
                  <c:v>0.580959099487658</c:v>
                </c:pt>
                <c:pt idx="60">
                  <c:v>0.59429572945678</c:v>
                </c:pt>
                <c:pt idx="61">
                  <c:v>0.60641929288437801</c:v>
                </c:pt>
                <c:pt idx="62">
                  <c:v>0.62175293063612502</c:v>
                </c:pt>
                <c:pt idx="63">
                  <c:v>0.63579323324532799</c:v>
                </c:pt>
                <c:pt idx="64">
                  <c:v>0.65217914317493997</c:v>
                </c:pt>
                <c:pt idx="65">
                  <c:v>0.670436468726608</c:v>
                </c:pt>
                <c:pt idx="66">
                  <c:v>0.68948236061621204</c:v>
                </c:pt>
                <c:pt idx="67">
                  <c:v>0.70766878134873301</c:v>
                </c:pt>
                <c:pt idx="68">
                  <c:v>0.72430174319844698</c:v>
                </c:pt>
                <c:pt idx="69">
                  <c:v>0.74016168027906903</c:v>
                </c:pt>
                <c:pt idx="70">
                  <c:v>0.754779290981764</c:v>
                </c:pt>
                <c:pt idx="71">
                  <c:v>0.76939302851207902</c:v>
                </c:pt>
                <c:pt idx="72">
                  <c:v>0.78395788051234305</c:v>
                </c:pt>
                <c:pt idx="73">
                  <c:v>0.79817607581471195</c:v>
                </c:pt>
                <c:pt idx="74">
                  <c:v>0.81172221764863195</c:v>
                </c:pt>
                <c:pt idx="75">
                  <c:v>0.824553981369192</c:v>
                </c:pt>
                <c:pt idx="76">
                  <c:v>0.83752713321566696</c:v>
                </c:pt>
                <c:pt idx="77">
                  <c:v>0.850567880145502</c:v>
                </c:pt>
                <c:pt idx="78">
                  <c:v>0.86562235595387604</c:v>
                </c:pt>
                <c:pt idx="79">
                  <c:v>0.87958477007785296</c:v>
                </c:pt>
                <c:pt idx="80">
                  <c:v>0.89412481514905096</c:v>
                </c:pt>
                <c:pt idx="81">
                  <c:v>0.90859246409578298</c:v>
                </c:pt>
                <c:pt idx="82">
                  <c:v>0.92389811757954898</c:v>
                </c:pt>
                <c:pt idx="83">
                  <c:v>0.94133873849814897</c:v>
                </c:pt>
                <c:pt idx="84">
                  <c:v>0.95931261837909299</c:v>
                </c:pt>
                <c:pt idx="85">
                  <c:v>0.97759052563502502</c:v>
                </c:pt>
                <c:pt idx="86">
                  <c:v>0.99930522527452503</c:v>
                </c:pt>
                <c:pt idx="87">
                  <c:v>1.02042095502146</c:v>
                </c:pt>
                <c:pt idx="88">
                  <c:v>1.0406616284892201</c:v>
                </c:pt>
                <c:pt idx="89">
                  <c:v>1.0599293924872899</c:v>
                </c:pt>
                <c:pt idx="90">
                  <c:v>1.0792483475925601</c:v>
                </c:pt>
                <c:pt idx="91">
                  <c:v>1.09743245194669</c:v>
                </c:pt>
                <c:pt idx="92">
                  <c:v>1.1154798917789099</c:v>
                </c:pt>
                <c:pt idx="93">
                  <c:v>1.1357286054665301</c:v>
                </c:pt>
                <c:pt idx="94">
                  <c:v>1.15592979988634</c:v>
                </c:pt>
                <c:pt idx="95">
                  <c:v>1.1782821034445301</c:v>
                </c:pt>
                <c:pt idx="96">
                  <c:v>1.20143215682463</c:v>
                </c:pt>
                <c:pt idx="97">
                  <c:v>1.22380953324985</c:v>
                </c:pt>
                <c:pt idx="98">
                  <c:v>1.24644852878002</c:v>
                </c:pt>
                <c:pt idx="99">
                  <c:v>1.2677464774866201</c:v>
                </c:pt>
                <c:pt idx="100">
                  <c:v>1.2878129465306101</c:v>
                </c:pt>
                <c:pt idx="101">
                  <c:v>1.30692313161649</c:v>
                </c:pt>
                <c:pt idx="102">
                  <c:v>1.32884280454641</c:v>
                </c:pt>
                <c:pt idx="103">
                  <c:v>1.35270251010264</c:v>
                </c:pt>
                <c:pt idx="104">
                  <c:v>1.3752641903110401</c:v>
                </c:pt>
                <c:pt idx="105">
                  <c:v>1.3979092995984399</c:v>
                </c:pt>
                <c:pt idx="106">
                  <c:v>1.4224301522351299</c:v>
                </c:pt>
                <c:pt idx="107">
                  <c:v>1.4462479886372701</c:v>
                </c:pt>
                <c:pt idx="108">
                  <c:v>1.4700994057210699</c:v>
                </c:pt>
                <c:pt idx="109">
                  <c:v>1.4928923249135699</c:v>
                </c:pt>
                <c:pt idx="110">
                  <c:v>1.5162700308417001</c:v>
                </c:pt>
                <c:pt idx="111">
                  <c:v>1.5390989231205101</c:v>
                </c:pt>
                <c:pt idx="112">
                  <c:v>1.56572356548743</c:v>
                </c:pt>
                <c:pt idx="113">
                  <c:v>1.59192250162672</c:v>
                </c:pt>
                <c:pt idx="114">
                  <c:v>1.6170253750765899</c:v>
                </c:pt>
                <c:pt idx="115">
                  <c:v>1.64106031625349</c:v>
                </c:pt>
                <c:pt idx="116">
                  <c:v>1.6662898984076899</c:v>
                </c:pt>
                <c:pt idx="117">
                  <c:v>1.6910495244521799</c:v>
                </c:pt>
                <c:pt idx="118">
                  <c:v>1.7149487677311599</c:v>
                </c:pt>
                <c:pt idx="119">
                  <c:v>1.7385411946812599</c:v>
                </c:pt>
                <c:pt idx="120">
                  <c:v>1.7616072636367499</c:v>
                </c:pt>
                <c:pt idx="121">
                  <c:v>1.7856976206975801</c:v>
                </c:pt>
                <c:pt idx="122">
                  <c:v>1.8096759338678801</c:v>
                </c:pt>
                <c:pt idx="123">
                  <c:v>1.83363243582508</c:v>
                </c:pt>
                <c:pt idx="124">
                  <c:v>1.85649799124124</c:v>
                </c:pt>
                <c:pt idx="125">
                  <c:v>1.88183602547355</c:v>
                </c:pt>
                <c:pt idx="126">
                  <c:v>1.90652776858018</c:v>
                </c:pt>
                <c:pt idx="127">
                  <c:v>1.93240687828461</c:v>
                </c:pt>
                <c:pt idx="128">
                  <c:v>1.95871662288711</c:v>
                </c:pt>
                <c:pt idx="129">
                  <c:v>1.9844706397070899</c:v>
                </c:pt>
                <c:pt idx="130">
                  <c:v>2.01218808611344</c:v>
                </c:pt>
                <c:pt idx="131">
                  <c:v>2.06243702977036</c:v>
                </c:pt>
                <c:pt idx="132">
                  <c:v>2.1180834889030198</c:v>
                </c:pt>
                <c:pt idx="133">
                  <c:v>2.2057817228752201</c:v>
                </c:pt>
                <c:pt idx="134">
                  <c:v>2.28950799541385</c:v>
                </c:pt>
                <c:pt idx="135">
                  <c:v>2.3717772090873899</c:v>
                </c:pt>
                <c:pt idx="136">
                  <c:v>2.4501650692038002</c:v>
                </c:pt>
                <c:pt idx="137">
                  <c:v>2.54716177226828</c:v>
                </c:pt>
                <c:pt idx="138">
                  <c:v>2.6547171191824899</c:v>
                </c:pt>
                <c:pt idx="139">
                  <c:v>2.8123749746131201</c:v>
                </c:pt>
                <c:pt idx="140">
                  <c:v>2.9884944148225601</c:v>
                </c:pt>
                <c:pt idx="141">
                  <c:v>3.32249087473933</c:v>
                </c:pt>
                <c:pt idx="142">
                  <c:v>3.8914604312489698</c:v>
                </c:pt>
                <c:pt idx="143">
                  <c:v>5.8893048396715404</c:v>
                </c:pt>
                <c:pt idx="144">
                  <c:v>7.5034226247614697</c:v>
                </c:pt>
                <c:pt idx="145">
                  <c:v>9.1724413802767497</c:v>
                </c:pt>
                <c:pt idx="146">
                  <c:v>23.004532591854499</c:v>
                </c:pt>
              </c:numCache>
            </c:numRef>
          </c:val>
        </c:ser>
        <c:marker val="1"/>
        <c:axId val="168854656"/>
        <c:axId val="168856192"/>
      </c:lineChart>
      <c:catAx>
        <c:axId val="168854656"/>
        <c:scaling>
          <c:orientation val="minMax"/>
        </c:scaling>
        <c:axPos val="b"/>
        <c:tickLblPos val="nextTo"/>
        <c:crossAx val="168856192"/>
        <c:crosses val="autoZero"/>
        <c:auto val="1"/>
        <c:lblAlgn val="ctr"/>
        <c:lblOffset val="100"/>
      </c:catAx>
      <c:valAx>
        <c:axId val="168856192"/>
        <c:scaling>
          <c:orientation val="minMax"/>
        </c:scaling>
        <c:axPos val="l"/>
        <c:majorGridlines/>
        <c:numFmt formatCode="General" sourceLinked="1"/>
        <c:tickLblPos val="nextTo"/>
        <c:crossAx val="1688546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273326</xdr:colOff>
      <xdr:row>1</xdr:row>
      <xdr:rowOff>49696</xdr:rowOff>
    </xdr:from>
    <xdr:to>
      <xdr:col>22</xdr:col>
      <xdr:colOff>554935</xdr:colOff>
      <xdr:row>15</xdr:row>
      <xdr:rowOff>124239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248477</xdr:colOff>
      <xdr:row>19</xdr:row>
      <xdr:rowOff>0</xdr:rowOff>
    </xdr:from>
    <xdr:to>
      <xdr:col>22</xdr:col>
      <xdr:colOff>530086</xdr:colOff>
      <xdr:row>33</xdr:row>
      <xdr:rowOff>74543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556113</xdr:colOff>
      <xdr:row>1</xdr:row>
      <xdr:rowOff>27842</xdr:rowOff>
    </xdr:from>
    <xdr:to>
      <xdr:col>15</xdr:col>
      <xdr:colOff>214679</xdr:colOff>
      <xdr:row>15</xdr:row>
      <xdr:rowOff>104042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417635</xdr:colOff>
      <xdr:row>120</xdr:row>
      <xdr:rowOff>7327</xdr:rowOff>
    </xdr:from>
    <xdr:to>
      <xdr:col>15</xdr:col>
      <xdr:colOff>124558</xdr:colOff>
      <xdr:row>134</xdr:row>
      <xdr:rowOff>80596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zoomScale="115" zoomScaleNormal="115" workbookViewId="0">
      <selection activeCell="L56" sqref="L56:L68"/>
    </sheetView>
  </sheetViews>
  <sheetFormatPr defaultRowHeight="15"/>
  <cols>
    <col min="4" max="4" width="15.7109375" bestFit="1" customWidth="1"/>
  </cols>
  <sheetData>
    <row r="1" spans="1:14">
      <c r="A1" t="s">
        <v>1</v>
      </c>
      <c r="B1" t="s">
        <v>2</v>
      </c>
    </row>
    <row r="2" spans="1:14">
      <c r="A2">
        <v>66</v>
      </c>
      <c r="B2">
        <v>5.00804388635256</v>
      </c>
      <c r="E2" t="s">
        <v>3</v>
      </c>
      <c r="F2" t="s">
        <v>4</v>
      </c>
      <c r="L2" t="s">
        <v>5</v>
      </c>
      <c r="M2" t="s">
        <v>6</v>
      </c>
      <c r="N2" t="s">
        <v>7</v>
      </c>
    </row>
    <row r="3" spans="1:14">
      <c r="A3">
        <v>65</v>
      </c>
      <c r="B3">
        <v>5.0990551597708098</v>
      </c>
      <c r="D3">
        <v>0</v>
      </c>
      <c r="E3">
        <v>4.5505636709115699E-2</v>
      </c>
      <c r="F3">
        <f>STDEVP(B$2:B3)</f>
        <v>4.5505636709124886E-2</v>
      </c>
      <c r="I3" t="s">
        <v>0</v>
      </c>
      <c r="L3">
        <f>MEDIAN(J4:J68)</f>
        <v>6.223548356914399E-2</v>
      </c>
      <c r="M3">
        <v>3</v>
      </c>
      <c r="N3">
        <f>AVERAGE(J4:J68)</f>
        <v>1.239414649675874</v>
      </c>
    </row>
    <row r="4" spans="1:14">
      <c r="A4">
        <v>64</v>
      </c>
      <c r="B4">
        <v>5.1413781104214697</v>
      </c>
      <c r="D4">
        <v>1</v>
      </c>
      <c r="E4">
        <v>5.5630027212546299E-2</v>
      </c>
      <c r="F4">
        <f>STDEVP(B$2:B4)</f>
        <v>5.5630027212576316E-2</v>
      </c>
      <c r="H4">
        <v>0</v>
      </c>
      <c r="I4">
        <v>1.01243905034306E-2</v>
      </c>
      <c r="J4">
        <f>F4-F3</f>
        <v>1.012439050345143E-2</v>
      </c>
      <c r="L4">
        <f>M$3*L$3-J4</f>
        <v>0.17658206020398054</v>
      </c>
      <c r="N4">
        <f>$N$3*M$3-J4</f>
        <v>3.7081195585241704</v>
      </c>
    </row>
    <row r="5" spans="1:14">
      <c r="A5">
        <v>63</v>
      </c>
      <c r="B5">
        <v>5.1957329428073198</v>
      </c>
      <c r="D5">
        <v>2</v>
      </c>
      <c r="E5">
        <v>6.8638784042967804E-2</v>
      </c>
      <c r="F5">
        <f>STDEVP(B$2:B5)</f>
        <v>6.8638784043022177E-2</v>
      </c>
      <c r="H5">
        <v>1</v>
      </c>
      <c r="I5">
        <v>1.30087568304215E-2</v>
      </c>
      <c r="J5">
        <f t="shared" ref="J5:J68" si="0">F5-F4</f>
        <v>1.3008756830445861E-2</v>
      </c>
      <c r="L5">
        <f t="shared" ref="L5:L68" si="1">M$3*L$3-J5</f>
        <v>0.17369769387698611</v>
      </c>
      <c r="N5">
        <f t="shared" ref="N5:N68" si="2">$N$3*M$3-J5</f>
        <v>3.705235192197176</v>
      </c>
    </row>
    <row r="6" spans="1:14">
      <c r="A6">
        <v>62</v>
      </c>
      <c r="B6">
        <v>5.3218233414030003</v>
      </c>
      <c r="D6">
        <v>3</v>
      </c>
      <c r="E6">
        <v>0.104292473738002</v>
      </c>
      <c r="F6">
        <f>STDEVP(B$2:B6)</f>
        <v>0.104292473737993</v>
      </c>
      <c r="H6">
        <v>2</v>
      </c>
      <c r="I6">
        <v>3.5653689695033998E-2</v>
      </c>
      <c r="J6">
        <f t="shared" si="0"/>
        <v>3.5653689694970819E-2</v>
      </c>
      <c r="L6">
        <f t="shared" si="1"/>
        <v>0.15105276101246115</v>
      </c>
      <c r="N6">
        <f t="shared" si="2"/>
        <v>3.6825902593326512</v>
      </c>
    </row>
    <row r="7" spans="1:14">
      <c r="A7">
        <v>61</v>
      </c>
      <c r="B7">
        <v>5.3982060749618297</v>
      </c>
      <c r="D7">
        <v>4</v>
      </c>
      <c r="E7">
        <v>0.131912334108679</v>
      </c>
      <c r="F7">
        <f>STDEVP(B$2:B7)</f>
        <v>0.13191233410868081</v>
      </c>
      <c r="H7">
        <v>3</v>
      </c>
      <c r="I7">
        <v>2.7619860370677499E-2</v>
      </c>
      <c r="J7">
        <f t="shared" si="0"/>
        <v>2.761986037068781E-2</v>
      </c>
      <c r="L7">
        <f t="shared" si="1"/>
        <v>0.15908659033674416</v>
      </c>
      <c r="N7">
        <f t="shared" si="2"/>
        <v>3.6906240886569344</v>
      </c>
    </row>
    <row r="8" spans="1:14">
      <c r="A8">
        <v>60</v>
      </c>
      <c r="B8">
        <v>5.41791893631998</v>
      </c>
      <c r="D8">
        <v>5</v>
      </c>
      <c r="E8">
        <v>0.14509442168408199</v>
      </c>
      <c r="F8">
        <f>STDEVP(B$2:B8)</f>
        <v>0.14509442168409126</v>
      </c>
      <c r="H8">
        <v>4</v>
      </c>
      <c r="I8">
        <v>1.3182087575403E-2</v>
      </c>
      <c r="J8">
        <f t="shared" si="0"/>
        <v>1.3182087575410451E-2</v>
      </c>
      <c r="L8">
        <f t="shared" si="1"/>
        <v>0.17352436313202152</v>
      </c>
      <c r="N8">
        <f t="shared" si="2"/>
        <v>3.7050618614522115</v>
      </c>
    </row>
    <row r="9" spans="1:14">
      <c r="A9">
        <v>59</v>
      </c>
      <c r="B9">
        <v>5.4474261480145598</v>
      </c>
      <c r="D9">
        <v>6</v>
      </c>
      <c r="E9">
        <v>0.15421527735835</v>
      </c>
      <c r="F9">
        <f>STDEVP(B$2:B9)</f>
        <v>0.15421527735834978</v>
      </c>
      <c r="H9">
        <v>5</v>
      </c>
      <c r="I9">
        <v>9.1208556742675105E-3</v>
      </c>
      <c r="J9">
        <f t="shared" si="0"/>
        <v>9.1208556742585212E-3</v>
      </c>
      <c r="L9">
        <f t="shared" si="1"/>
        <v>0.17758559503317345</v>
      </c>
      <c r="N9">
        <f t="shared" si="2"/>
        <v>3.7091230933533637</v>
      </c>
    </row>
    <row r="10" spans="1:14">
      <c r="A10">
        <v>58</v>
      </c>
      <c r="B10">
        <v>5.4885370578989399</v>
      </c>
      <c r="D10">
        <v>7</v>
      </c>
      <c r="E10">
        <v>0.16305433884003101</v>
      </c>
      <c r="F10">
        <f>STDEVP(B$2:B10)</f>
        <v>0.16305433884003298</v>
      </c>
      <c r="H10">
        <v>6</v>
      </c>
      <c r="I10">
        <v>8.8390614816815597E-3</v>
      </c>
      <c r="J10">
        <f t="shared" si="0"/>
        <v>8.8390614816832025E-3</v>
      </c>
      <c r="L10">
        <f t="shared" si="1"/>
        <v>0.17786738922574877</v>
      </c>
      <c r="N10">
        <f t="shared" si="2"/>
        <v>3.7094048875459387</v>
      </c>
    </row>
    <row r="11" spans="1:14">
      <c r="A11">
        <v>57</v>
      </c>
      <c r="B11">
        <v>5.4930377237791497</v>
      </c>
      <c r="D11">
        <v>8</v>
      </c>
      <c r="E11">
        <v>0.16739387445591</v>
      </c>
      <c r="F11">
        <f>STDEVP(B$2:B11)</f>
        <v>0.16739387445589812</v>
      </c>
      <c r="H11">
        <v>7</v>
      </c>
      <c r="I11">
        <v>4.3395356158782402E-3</v>
      </c>
      <c r="J11">
        <f t="shared" si="0"/>
        <v>4.3395356158651421E-3</v>
      </c>
      <c r="L11">
        <f t="shared" si="1"/>
        <v>0.18236691509156683</v>
      </c>
      <c r="N11">
        <f t="shared" si="2"/>
        <v>3.7139044134117567</v>
      </c>
    </row>
    <row r="12" spans="1:14">
      <c r="A12">
        <v>56</v>
      </c>
      <c r="B12">
        <v>5.5311778314230997</v>
      </c>
      <c r="D12">
        <v>9</v>
      </c>
      <c r="E12">
        <v>0.17276465528123999</v>
      </c>
      <c r="F12">
        <f>STDEVP(B$2:B12)</f>
        <v>0.1727646552812383</v>
      </c>
      <c r="H12">
        <v>8</v>
      </c>
      <c r="I12">
        <v>5.3707808253307399E-3</v>
      </c>
      <c r="J12">
        <f t="shared" si="0"/>
        <v>5.3707808253401768E-3</v>
      </c>
      <c r="L12">
        <f t="shared" si="1"/>
        <v>0.18133566988209179</v>
      </c>
      <c r="N12">
        <f t="shared" si="2"/>
        <v>3.712873168202282</v>
      </c>
    </row>
    <row r="13" spans="1:14">
      <c r="A13">
        <v>55</v>
      </c>
      <c r="B13">
        <v>5.7244200697193204</v>
      </c>
      <c r="D13">
        <v>10</v>
      </c>
      <c r="E13">
        <v>0.199321353674387</v>
      </c>
      <c r="F13">
        <f>STDEVP(B$2:B13)</f>
        <v>0.1993213536743855</v>
      </c>
      <c r="H13">
        <v>9</v>
      </c>
      <c r="I13">
        <v>2.6556698393147199E-2</v>
      </c>
      <c r="J13">
        <f t="shared" si="0"/>
        <v>2.6556698393147199E-2</v>
      </c>
      <c r="L13">
        <f t="shared" si="1"/>
        <v>0.16014975231428477</v>
      </c>
      <c r="N13">
        <f t="shared" si="2"/>
        <v>3.6916872506344749</v>
      </c>
    </row>
    <row r="14" spans="1:14">
      <c r="A14">
        <v>54</v>
      </c>
      <c r="B14">
        <v>5.7573876273176596</v>
      </c>
      <c r="D14">
        <v>11</v>
      </c>
      <c r="E14">
        <v>0.21940316648319599</v>
      </c>
      <c r="F14">
        <f>STDEVP(B$2:B14)</f>
        <v>0.21940316648319183</v>
      </c>
      <c r="H14">
        <v>10</v>
      </c>
      <c r="I14">
        <v>2.0081812808808899E-2</v>
      </c>
      <c r="J14">
        <f t="shared" si="0"/>
        <v>2.0081812808806332E-2</v>
      </c>
      <c r="L14">
        <f t="shared" si="1"/>
        <v>0.16662463789862564</v>
      </c>
      <c r="N14">
        <f t="shared" si="2"/>
        <v>3.6981621362188157</v>
      </c>
    </row>
    <row r="15" spans="1:14">
      <c r="A15">
        <v>53</v>
      </c>
      <c r="B15">
        <v>5.82311988317581</v>
      </c>
      <c r="D15">
        <v>12</v>
      </c>
      <c r="E15">
        <v>0.23946859196596601</v>
      </c>
      <c r="F15">
        <f>STDEVP(B$2:B15)</f>
        <v>0.23946859196597134</v>
      </c>
      <c r="H15">
        <v>11</v>
      </c>
      <c r="I15">
        <v>2.00654254827696E-2</v>
      </c>
      <c r="J15">
        <f t="shared" si="0"/>
        <v>2.0065425482779509E-2</v>
      </c>
      <c r="L15">
        <f t="shared" si="1"/>
        <v>0.16664102522465246</v>
      </c>
      <c r="N15">
        <f t="shared" si="2"/>
        <v>3.6981785235448426</v>
      </c>
    </row>
    <row r="16" spans="1:14">
      <c r="A16">
        <v>52</v>
      </c>
      <c r="B16">
        <v>5.8376730440307298</v>
      </c>
      <c r="D16">
        <v>13</v>
      </c>
      <c r="E16">
        <v>0.25396610400398401</v>
      </c>
      <c r="F16">
        <f>STDEVP(B$2:B16)</f>
        <v>0.25396610400397862</v>
      </c>
      <c r="H16">
        <v>12</v>
      </c>
      <c r="I16">
        <v>1.44975120380178E-2</v>
      </c>
      <c r="J16">
        <f t="shared" si="0"/>
        <v>1.4497512038007282E-2</v>
      </c>
      <c r="L16">
        <f t="shared" si="1"/>
        <v>0.17220893866942469</v>
      </c>
      <c r="N16">
        <f t="shared" si="2"/>
        <v>3.7037464369896149</v>
      </c>
    </row>
    <row r="17" spans="1:14">
      <c r="A17">
        <v>51</v>
      </c>
      <c r="B17">
        <v>5.9869591753350697</v>
      </c>
      <c r="D17">
        <v>14</v>
      </c>
      <c r="E17">
        <v>0.27863183223719701</v>
      </c>
      <c r="F17">
        <f>STDEVP(B$2:B17)</f>
        <v>0.2786318322371969</v>
      </c>
      <c r="H17">
        <v>13</v>
      </c>
      <c r="I17">
        <v>2.4665728233213099E-2</v>
      </c>
      <c r="J17">
        <f t="shared" si="0"/>
        <v>2.4665728233218276E-2</v>
      </c>
      <c r="L17">
        <f t="shared" si="1"/>
        <v>0.16204072247421369</v>
      </c>
      <c r="N17">
        <f t="shared" si="2"/>
        <v>3.6935782207944037</v>
      </c>
    </row>
    <row r="18" spans="1:14">
      <c r="A18">
        <v>50</v>
      </c>
      <c r="B18">
        <v>6.0215648176786001</v>
      </c>
      <c r="D18">
        <v>15</v>
      </c>
      <c r="E18">
        <v>0.29889282288182301</v>
      </c>
      <c r="F18">
        <f>STDEVP(B$2:B18)</f>
        <v>0.29889282288182573</v>
      </c>
      <c r="H18">
        <v>14</v>
      </c>
      <c r="I18">
        <v>2.0260990644625901E-2</v>
      </c>
      <c r="J18">
        <f t="shared" si="0"/>
        <v>2.0260990644628829E-2</v>
      </c>
      <c r="L18">
        <f t="shared" si="1"/>
        <v>0.16644546006280314</v>
      </c>
      <c r="N18">
        <f t="shared" si="2"/>
        <v>3.6979829583829931</v>
      </c>
    </row>
    <row r="19" spans="1:14">
      <c r="A19">
        <v>49</v>
      </c>
      <c r="B19">
        <v>6.0304669780650704</v>
      </c>
      <c r="D19">
        <v>16</v>
      </c>
      <c r="E19">
        <v>0.313865620729331</v>
      </c>
      <c r="F19">
        <f>STDEVP(B$2:B19)</f>
        <v>0.3138656207293386</v>
      </c>
      <c r="H19">
        <v>15</v>
      </c>
      <c r="I19">
        <v>1.49727978475085E-2</v>
      </c>
      <c r="J19">
        <f t="shared" si="0"/>
        <v>1.4972797847512875E-2</v>
      </c>
      <c r="L19">
        <f t="shared" si="1"/>
        <v>0.17173365285991909</v>
      </c>
      <c r="N19">
        <f t="shared" si="2"/>
        <v>3.7032711511801093</v>
      </c>
    </row>
    <row r="20" spans="1:14">
      <c r="A20">
        <v>48</v>
      </c>
      <c r="B20">
        <v>6.3124496774656196</v>
      </c>
      <c r="D20">
        <v>17</v>
      </c>
      <c r="E20">
        <v>0.35080090814577197</v>
      </c>
      <c r="F20">
        <f>STDEVP(B$2:B20)</f>
        <v>0.35080090814576848</v>
      </c>
      <c r="H20">
        <v>16</v>
      </c>
      <c r="I20">
        <v>3.6935287416440303E-2</v>
      </c>
      <c r="J20">
        <f t="shared" si="0"/>
        <v>3.6935287416429874E-2</v>
      </c>
      <c r="L20">
        <f t="shared" si="1"/>
        <v>0.1497711632910021</v>
      </c>
      <c r="N20">
        <f t="shared" si="2"/>
        <v>3.6813086616111921</v>
      </c>
    </row>
    <row r="21" spans="1:14">
      <c r="A21">
        <v>47</v>
      </c>
      <c r="B21">
        <v>6.4478767156084302</v>
      </c>
      <c r="D21">
        <v>18</v>
      </c>
      <c r="E21">
        <v>0.39065925146205299</v>
      </c>
      <c r="F21">
        <f>STDEVP(B$2:B21)</f>
        <v>0.39065925146205588</v>
      </c>
      <c r="H21">
        <v>17</v>
      </c>
      <c r="I21">
        <v>3.9858343316281103E-2</v>
      </c>
      <c r="J21">
        <f t="shared" si="0"/>
        <v>3.9858343316287403E-2</v>
      </c>
      <c r="L21">
        <f t="shared" si="1"/>
        <v>0.14684810739114457</v>
      </c>
      <c r="N21">
        <f t="shared" si="2"/>
        <v>3.6783856057113344</v>
      </c>
    </row>
    <row r="22" spans="1:14">
      <c r="A22">
        <v>46</v>
      </c>
      <c r="B22">
        <v>6.5160999301225999</v>
      </c>
      <c r="D22">
        <v>19</v>
      </c>
      <c r="E22">
        <v>0.42593742899582898</v>
      </c>
      <c r="F22">
        <f>STDEVP(B$2:B22)</f>
        <v>0.42593742899583398</v>
      </c>
      <c r="H22">
        <v>18</v>
      </c>
      <c r="I22">
        <v>3.5278177533776697E-2</v>
      </c>
      <c r="J22">
        <f t="shared" si="0"/>
        <v>3.5278177533778099E-2</v>
      </c>
      <c r="L22">
        <f t="shared" si="1"/>
        <v>0.15142827317365387</v>
      </c>
      <c r="N22">
        <f t="shared" si="2"/>
        <v>3.6829657714938437</v>
      </c>
    </row>
    <row r="23" spans="1:14">
      <c r="A23">
        <v>45</v>
      </c>
      <c r="B23">
        <v>6.5902722884016098</v>
      </c>
      <c r="D23">
        <v>20</v>
      </c>
      <c r="E23">
        <v>0.45846181604464697</v>
      </c>
      <c r="F23">
        <f>STDEVP(B$2:B23)</f>
        <v>0.45846181604464664</v>
      </c>
      <c r="H23">
        <v>19</v>
      </c>
      <c r="I23">
        <v>3.2524387048817903E-2</v>
      </c>
      <c r="J23">
        <f t="shared" si="0"/>
        <v>3.2524387048812664E-2</v>
      </c>
      <c r="L23">
        <f t="shared" si="1"/>
        <v>0.15418206365861931</v>
      </c>
      <c r="N23">
        <f t="shared" si="2"/>
        <v>3.6857195619788095</v>
      </c>
    </row>
    <row r="24" spans="1:14">
      <c r="A24">
        <v>44</v>
      </c>
      <c r="B24">
        <v>6.7849006757969601</v>
      </c>
      <c r="D24">
        <v>21</v>
      </c>
      <c r="E24">
        <v>0.49921863032382402</v>
      </c>
      <c r="F24">
        <f>STDEVP(B$2:B24)</f>
        <v>0.49921863032381542</v>
      </c>
      <c r="H24">
        <v>20</v>
      </c>
      <c r="I24">
        <v>4.0756814279176802E-2</v>
      </c>
      <c r="J24">
        <f t="shared" si="0"/>
        <v>4.0756814279168774E-2</v>
      </c>
      <c r="L24">
        <f t="shared" si="1"/>
        <v>0.1459496364282632</v>
      </c>
      <c r="N24">
        <f t="shared" si="2"/>
        <v>3.6774871347484535</v>
      </c>
    </row>
    <row r="25" spans="1:14">
      <c r="A25">
        <v>43</v>
      </c>
      <c r="B25">
        <v>6.8730662927774402</v>
      </c>
      <c r="D25">
        <v>22</v>
      </c>
      <c r="E25">
        <v>0.53731770966191506</v>
      </c>
      <c r="F25">
        <f>STDEVP(B$2:B25)</f>
        <v>0.53731770966190662</v>
      </c>
      <c r="H25">
        <v>21</v>
      </c>
      <c r="I25">
        <v>3.8099079338091299E-2</v>
      </c>
      <c r="J25">
        <f t="shared" si="0"/>
        <v>3.8099079338091202E-2</v>
      </c>
      <c r="L25">
        <f t="shared" si="1"/>
        <v>0.14860737136934077</v>
      </c>
      <c r="N25">
        <f t="shared" si="2"/>
        <v>3.6801448696895309</v>
      </c>
    </row>
    <row r="26" spans="1:14">
      <c r="A26">
        <v>42</v>
      </c>
      <c r="B26">
        <v>6.9092234072759604</v>
      </c>
      <c r="D26">
        <v>23</v>
      </c>
      <c r="E26">
        <v>0.56941728053770202</v>
      </c>
      <c r="F26">
        <f>STDEVP(B$2:B26)</f>
        <v>0.56941728053769436</v>
      </c>
      <c r="H26">
        <v>22</v>
      </c>
      <c r="I26">
        <v>3.2099570875786701E-2</v>
      </c>
      <c r="J26">
        <f t="shared" si="0"/>
        <v>3.2099570875787742E-2</v>
      </c>
      <c r="L26">
        <f t="shared" si="1"/>
        <v>0.15460687983164423</v>
      </c>
      <c r="N26">
        <f t="shared" si="2"/>
        <v>3.6861443781518344</v>
      </c>
    </row>
    <row r="27" spans="1:14">
      <c r="A27">
        <v>41</v>
      </c>
      <c r="B27">
        <v>6.9211255275480497</v>
      </c>
      <c r="D27">
        <v>24</v>
      </c>
      <c r="E27">
        <v>0.59538907560710097</v>
      </c>
      <c r="F27">
        <f>STDEVP(B$2:B27)</f>
        <v>0.59538907560709831</v>
      </c>
      <c r="H27">
        <v>23</v>
      </c>
      <c r="I27">
        <v>2.5971795069398802E-2</v>
      </c>
      <c r="J27">
        <f t="shared" si="0"/>
        <v>2.5971795069403947E-2</v>
      </c>
      <c r="L27">
        <f t="shared" si="1"/>
        <v>0.16073465563802802</v>
      </c>
      <c r="N27">
        <f t="shared" si="2"/>
        <v>3.6922721539582182</v>
      </c>
    </row>
    <row r="28" spans="1:14">
      <c r="A28">
        <v>40</v>
      </c>
      <c r="B28">
        <v>6.9678049803955604</v>
      </c>
      <c r="D28">
        <v>25</v>
      </c>
      <c r="E28">
        <v>0.618846323625179</v>
      </c>
      <c r="F28">
        <f>STDEVP(B$2:B28)</f>
        <v>0.61884632362518277</v>
      </c>
      <c r="H28">
        <v>24</v>
      </c>
      <c r="I28">
        <v>2.34572480180784E-2</v>
      </c>
      <c r="J28">
        <f t="shared" si="0"/>
        <v>2.3457248018084464E-2</v>
      </c>
      <c r="L28">
        <f t="shared" si="1"/>
        <v>0.16324920268934751</v>
      </c>
      <c r="N28">
        <f t="shared" si="2"/>
        <v>3.6947867010095377</v>
      </c>
    </row>
    <row r="29" spans="1:14">
      <c r="A29">
        <v>39</v>
      </c>
      <c r="B29">
        <v>7.0396022189601499</v>
      </c>
      <c r="D29">
        <v>26</v>
      </c>
      <c r="E29">
        <v>0.64177416887844596</v>
      </c>
      <c r="F29">
        <f>STDEVP(B$2:B29)</f>
        <v>0.64177416887844274</v>
      </c>
      <c r="H29">
        <v>25</v>
      </c>
      <c r="I29">
        <v>2.2927845253267101E-2</v>
      </c>
      <c r="J29">
        <f t="shared" si="0"/>
        <v>2.2927845253259971E-2</v>
      </c>
      <c r="L29">
        <f t="shared" si="1"/>
        <v>0.163778605454172</v>
      </c>
      <c r="N29">
        <f t="shared" si="2"/>
        <v>3.695316103774362</v>
      </c>
    </row>
    <row r="30" spans="1:14">
      <c r="A30">
        <v>38</v>
      </c>
      <c r="B30">
        <v>7.1576948766794901</v>
      </c>
      <c r="D30">
        <v>27</v>
      </c>
      <c r="E30">
        <v>0.66696664697486396</v>
      </c>
      <c r="F30">
        <f>STDEVP(B$2:B30)</f>
        <v>0.66696664697486718</v>
      </c>
      <c r="H30">
        <v>26</v>
      </c>
      <c r="I30">
        <v>2.5192478096417201E-2</v>
      </c>
      <c r="J30">
        <f t="shared" si="0"/>
        <v>2.5192478096424442E-2</v>
      </c>
      <c r="L30">
        <f t="shared" si="1"/>
        <v>0.16151397261100753</v>
      </c>
      <c r="N30">
        <f t="shared" si="2"/>
        <v>3.6930514709311977</v>
      </c>
    </row>
    <row r="31" spans="1:14">
      <c r="A31">
        <v>37</v>
      </c>
      <c r="B31">
        <v>7.2894235945784596</v>
      </c>
      <c r="D31">
        <v>28</v>
      </c>
      <c r="E31">
        <v>0.69490463217170295</v>
      </c>
      <c r="F31">
        <f>STDEVP(B$2:B31)</f>
        <v>0.69490463217170118</v>
      </c>
      <c r="H31">
        <v>27</v>
      </c>
      <c r="I31">
        <v>2.79379851968393E-2</v>
      </c>
      <c r="J31">
        <f t="shared" si="0"/>
        <v>2.7937985196833992E-2</v>
      </c>
      <c r="L31">
        <f t="shared" si="1"/>
        <v>0.15876846551059798</v>
      </c>
      <c r="N31">
        <f t="shared" si="2"/>
        <v>3.690305963830788</v>
      </c>
    </row>
    <row r="32" spans="1:14">
      <c r="A32">
        <v>36</v>
      </c>
      <c r="B32">
        <v>7.6345834081536497</v>
      </c>
      <c r="D32">
        <v>29</v>
      </c>
      <c r="E32">
        <v>0.73864000397044305</v>
      </c>
      <c r="F32">
        <f>STDEVP(B$2:B32)</f>
        <v>0.73864000397044183</v>
      </c>
      <c r="H32">
        <v>28</v>
      </c>
      <c r="I32">
        <v>4.373537179874E-2</v>
      </c>
      <c r="J32">
        <f t="shared" si="0"/>
        <v>4.3735371798740652E-2</v>
      </c>
      <c r="L32">
        <f t="shared" si="1"/>
        <v>0.14297107890869132</v>
      </c>
      <c r="N32">
        <f t="shared" si="2"/>
        <v>3.6745085772288815</v>
      </c>
    </row>
    <row r="33" spans="1:14">
      <c r="A33">
        <v>35</v>
      </c>
      <c r="B33">
        <v>7.8877117547363902</v>
      </c>
      <c r="D33">
        <v>30</v>
      </c>
      <c r="E33">
        <v>0.79060306856493001</v>
      </c>
      <c r="F33">
        <f>STDEVP(B$2:B33)</f>
        <v>0.79060306856493023</v>
      </c>
      <c r="H33">
        <v>29</v>
      </c>
      <c r="I33">
        <v>5.1963064594487303E-2</v>
      </c>
      <c r="J33">
        <f t="shared" si="0"/>
        <v>5.1963064594488406E-2</v>
      </c>
      <c r="L33">
        <f t="shared" si="1"/>
        <v>0.13474338611294356</v>
      </c>
      <c r="N33">
        <f t="shared" si="2"/>
        <v>3.6662808844331334</v>
      </c>
    </row>
    <row r="34" spans="1:14">
      <c r="A34">
        <v>34</v>
      </c>
      <c r="B34">
        <v>7.9289995443100096</v>
      </c>
      <c r="D34">
        <v>31</v>
      </c>
      <c r="E34">
        <v>0.83562939202320896</v>
      </c>
      <c r="F34">
        <f>STDEVP(B$2:B34)</f>
        <v>0.83562939202320941</v>
      </c>
      <c r="H34">
        <v>30</v>
      </c>
      <c r="I34">
        <v>4.5026323458278998E-2</v>
      </c>
      <c r="J34">
        <f t="shared" si="0"/>
        <v>4.5026323458279172E-2</v>
      </c>
      <c r="L34">
        <f t="shared" si="1"/>
        <v>0.1416801272491528</v>
      </c>
      <c r="N34">
        <f t="shared" si="2"/>
        <v>3.6732176255693427</v>
      </c>
    </row>
    <row r="35" spans="1:14">
      <c r="A35">
        <v>33</v>
      </c>
      <c r="B35">
        <v>7.9634455539512601</v>
      </c>
      <c r="D35">
        <v>32</v>
      </c>
      <c r="E35">
        <v>0.87483814878185195</v>
      </c>
      <c r="F35">
        <f>STDEVP(B$2:B35)</f>
        <v>0.87483814878185318</v>
      </c>
      <c r="H35">
        <v>31</v>
      </c>
      <c r="I35">
        <v>3.9208756758642799E-2</v>
      </c>
      <c r="J35">
        <f t="shared" si="0"/>
        <v>3.920875675864377E-2</v>
      </c>
      <c r="L35">
        <f t="shared" si="1"/>
        <v>0.1474976939487882</v>
      </c>
      <c r="N35">
        <f t="shared" si="2"/>
        <v>3.6790351922689783</v>
      </c>
    </row>
    <row r="36" spans="1:14">
      <c r="A36">
        <v>32</v>
      </c>
      <c r="B36">
        <v>8.5264769857616507</v>
      </c>
      <c r="D36">
        <v>33</v>
      </c>
      <c r="E36">
        <v>0.94109002035091405</v>
      </c>
      <c r="F36">
        <f>STDEVP(B$2:B36)</f>
        <v>0.94109002035091527</v>
      </c>
      <c r="H36">
        <v>32</v>
      </c>
      <c r="I36">
        <v>6.6251871569061996E-2</v>
      </c>
      <c r="J36">
        <f t="shared" si="0"/>
        <v>6.6251871569062093E-2</v>
      </c>
      <c r="L36">
        <f t="shared" si="1"/>
        <v>0.12045457913836988</v>
      </c>
      <c r="N36">
        <f t="shared" si="2"/>
        <v>3.6519920774585599</v>
      </c>
    </row>
    <row r="37" spans="1:14">
      <c r="A37">
        <v>31</v>
      </c>
      <c r="B37">
        <v>8.6498823931781708</v>
      </c>
      <c r="D37">
        <v>34</v>
      </c>
      <c r="E37">
        <v>1.0033255039200699</v>
      </c>
      <c r="F37">
        <f>STDEVP(B$2:B37)</f>
        <v>1.0033255039200593</v>
      </c>
      <c r="H37">
        <v>33</v>
      </c>
      <c r="I37">
        <v>6.2235483569151498E-2</v>
      </c>
      <c r="J37">
        <f t="shared" si="0"/>
        <v>6.223548356914399E-2</v>
      </c>
      <c r="L37">
        <f t="shared" si="1"/>
        <v>0.12447096713828798</v>
      </c>
      <c r="N37">
        <f t="shared" si="2"/>
        <v>3.6560084654584779</v>
      </c>
    </row>
    <row r="38" spans="1:14">
      <c r="A38">
        <v>30</v>
      </c>
      <c r="B38">
        <v>9.3810279110994497</v>
      </c>
      <c r="D38">
        <v>35</v>
      </c>
      <c r="E38">
        <v>1.1019715064181499</v>
      </c>
      <c r="F38">
        <f>STDEVP(B$2:B38)</f>
        <v>1.1019715064181508</v>
      </c>
      <c r="H38">
        <v>34</v>
      </c>
      <c r="I38">
        <v>9.8646002498086596E-2</v>
      </c>
      <c r="J38">
        <f t="shared" si="0"/>
        <v>9.8646002498091523E-2</v>
      </c>
      <c r="L38">
        <f t="shared" si="1"/>
        <v>8.8060448209340447E-2</v>
      </c>
      <c r="N38">
        <f t="shared" si="2"/>
        <v>3.6195979465295305</v>
      </c>
    </row>
    <row r="39" spans="1:14">
      <c r="A39">
        <v>29</v>
      </c>
      <c r="B39">
        <v>9.9180961721963996</v>
      </c>
      <c r="D39">
        <v>36</v>
      </c>
      <c r="E39">
        <v>1.21921183289047</v>
      </c>
      <c r="F39">
        <f>STDEVP(B$2:B39)</f>
        <v>1.2192118328904706</v>
      </c>
      <c r="H39">
        <v>35</v>
      </c>
      <c r="I39">
        <v>0.117240326472319</v>
      </c>
      <c r="J39">
        <f t="shared" si="0"/>
        <v>0.11724032647231986</v>
      </c>
      <c r="L39">
        <f t="shared" si="1"/>
        <v>6.9466124235112114E-2</v>
      </c>
      <c r="N39">
        <f t="shared" si="2"/>
        <v>3.6010036225553019</v>
      </c>
    </row>
    <row r="40" spans="1:14">
      <c r="A40">
        <v>28</v>
      </c>
      <c r="B40">
        <v>10.696952356016</v>
      </c>
      <c r="D40">
        <v>37</v>
      </c>
      <c r="E40">
        <v>1.36936461725976</v>
      </c>
      <c r="F40">
        <f>STDEVP(B$2:B40)</f>
        <v>1.3693646172597596</v>
      </c>
      <c r="H40">
        <v>36</v>
      </c>
      <c r="I40">
        <v>0.150152784369284</v>
      </c>
      <c r="J40">
        <f t="shared" si="0"/>
        <v>0.15015278436928892</v>
      </c>
      <c r="L40">
        <f t="shared" si="1"/>
        <v>3.6553666338143054E-2</v>
      </c>
      <c r="N40">
        <f t="shared" si="2"/>
        <v>3.5680911646583331</v>
      </c>
    </row>
    <row r="41" spans="1:14">
      <c r="A41">
        <v>27</v>
      </c>
      <c r="B41">
        <v>10.7810064577472</v>
      </c>
      <c r="D41">
        <v>38</v>
      </c>
      <c r="E41">
        <v>1.49675487683044</v>
      </c>
      <c r="F41">
        <f>STDEVP(B$2:B41)</f>
        <v>1.4967548768304393</v>
      </c>
      <c r="H41">
        <v>37</v>
      </c>
      <c r="I41">
        <v>0.12739025957068201</v>
      </c>
      <c r="J41">
        <f t="shared" si="0"/>
        <v>0.12739025957067973</v>
      </c>
      <c r="L41">
        <f t="shared" si="1"/>
        <v>5.9316191136752239E-2</v>
      </c>
      <c r="N41">
        <f t="shared" si="2"/>
        <v>3.5908536894569423</v>
      </c>
    </row>
    <row r="42" spans="1:14">
      <c r="A42">
        <v>26</v>
      </c>
      <c r="B42">
        <v>11.3624446234386</v>
      </c>
      <c r="D42">
        <v>39</v>
      </c>
      <c r="E42">
        <v>1.63918766782569</v>
      </c>
      <c r="F42">
        <f>STDEVP(B$2:B42)</f>
        <v>1.6391876678256911</v>
      </c>
      <c r="H42">
        <v>38</v>
      </c>
      <c r="I42">
        <v>0.14243279099525399</v>
      </c>
      <c r="J42">
        <f t="shared" si="0"/>
        <v>0.14243279099525186</v>
      </c>
      <c r="L42">
        <f t="shared" si="1"/>
        <v>4.4273659712180113E-2</v>
      </c>
      <c r="N42">
        <f t="shared" si="2"/>
        <v>3.5758111580323702</v>
      </c>
    </row>
    <row r="43" spans="1:14">
      <c r="A43">
        <v>25</v>
      </c>
      <c r="B43">
        <v>11.567679170327599</v>
      </c>
      <c r="D43">
        <v>40</v>
      </c>
      <c r="E43">
        <v>1.7699505465994001</v>
      </c>
      <c r="F43">
        <f>STDEVP(B$2:B43)</f>
        <v>1.7699505465994017</v>
      </c>
      <c r="H43">
        <v>39</v>
      </c>
      <c r="I43">
        <v>0.13076287877371101</v>
      </c>
      <c r="J43">
        <f t="shared" si="0"/>
        <v>0.13076287877371051</v>
      </c>
      <c r="L43">
        <f t="shared" si="1"/>
        <v>5.5943571933721459E-2</v>
      </c>
      <c r="N43">
        <f t="shared" si="2"/>
        <v>3.5874810702539115</v>
      </c>
    </row>
    <row r="44" spans="1:14">
      <c r="A44">
        <v>24</v>
      </c>
      <c r="B44">
        <v>12.181834804792</v>
      </c>
      <c r="D44">
        <v>41</v>
      </c>
      <c r="E44">
        <v>1.91591843487336</v>
      </c>
      <c r="F44">
        <f>STDEVP(B$2:B44)</f>
        <v>1.9159184348733553</v>
      </c>
      <c r="H44">
        <v>40</v>
      </c>
      <c r="I44">
        <v>0.14596788827395299</v>
      </c>
      <c r="J44">
        <f t="shared" si="0"/>
        <v>0.14596788827395368</v>
      </c>
      <c r="L44">
        <f t="shared" si="1"/>
        <v>4.0738562433478287E-2</v>
      </c>
      <c r="N44">
        <f t="shared" si="2"/>
        <v>3.5722760607536683</v>
      </c>
    </row>
    <row r="45" spans="1:14">
      <c r="A45">
        <v>23</v>
      </c>
      <c r="B45">
        <v>12.308977819968399</v>
      </c>
      <c r="D45">
        <v>42</v>
      </c>
      <c r="E45">
        <v>2.0460052840283001</v>
      </c>
      <c r="F45">
        <f>STDEVP(B$2:B45)</f>
        <v>2.0460052840283054</v>
      </c>
      <c r="H45">
        <v>41</v>
      </c>
      <c r="I45">
        <v>0.13008684915495</v>
      </c>
      <c r="J45">
        <f t="shared" si="0"/>
        <v>0.13008684915495006</v>
      </c>
      <c r="L45">
        <f t="shared" si="1"/>
        <v>5.6619601552481913E-2</v>
      </c>
      <c r="N45">
        <f t="shared" si="2"/>
        <v>3.5881570998726717</v>
      </c>
    </row>
    <row r="46" spans="1:14">
      <c r="A46">
        <v>22</v>
      </c>
      <c r="B46">
        <v>12.3124250847225</v>
      </c>
      <c r="D46">
        <v>43</v>
      </c>
      <c r="E46">
        <v>2.1571655061480102</v>
      </c>
      <c r="F46">
        <f>STDEVP(B$2:B46)</f>
        <v>2.1571655061480075</v>
      </c>
      <c r="H46">
        <v>42</v>
      </c>
      <c r="I46">
        <v>0.111160222119701</v>
      </c>
      <c r="J46">
        <f t="shared" si="0"/>
        <v>0.11116022211970211</v>
      </c>
      <c r="L46">
        <f t="shared" si="1"/>
        <v>7.5546228587729858E-2</v>
      </c>
      <c r="N46">
        <f t="shared" si="2"/>
        <v>3.6070837269079199</v>
      </c>
    </row>
    <row r="47" spans="1:14">
      <c r="A47">
        <v>21</v>
      </c>
      <c r="B47">
        <v>12.44941948798</v>
      </c>
      <c r="D47">
        <v>44</v>
      </c>
      <c r="E47">
        <v>2.2595960084416302</v>
      </c>
      <c r="F47">
        <f>STDEVP(B$2:B47)</f>
        <v>2.2595960084416293</v>
      </c>
      <c r="H47">
        <v>43</v>
      </c>
      <c r="I47">
        <v>0.10243050229362401</v>
      </c>
      <c r="J47">
        <f t="shared" si="0"/>
        <v>0.10243050229362183</v>
      </c>
      <c r="L47">
        <f t="shared" si="1"/>
        <v>8.4275948413810142E-2</v>
      </c>
      <c r="N47">
        <f t="shared" si="2"/>
        <v>3.6158134467340002</v>
      </c>
    </row>
    <row r="48" spans="1:14">
      <c r="A48">
        <v>20</v>
      </c>
      <c r="B48">
        <v>12.587885860140901</v>
      </c>
      <c r="D48">
        <v>45</v>
      </c>
      <c r="E48">
        <v>2.3547952091223299</v>
      </c>
      <c r="F48">
        <f>STDEVP(B$2:B48)</f>
        <v>2.3547952091223263</v>
      </c>
      <c r="H48">
        <v>44</v>
      </c>
      <c r="I48">
        <v>9.5199200680695706E-2</v>
      </c>
      <c r="J48">
        <f t="shared" si="0"/>
        <v>9.5199200680696983E-2</v>
      </c>
      <c r="L48">
        <f t="shared" si="1"/>
        <v>9.1507250026734988E-2</v>
      </c>
      <c r="N48">
        <f t="shared" si="2"/>
        <v>3.623044748346925</v>
      </c>
    </row>
    <row r="49" spans="1:14">
      <c r="A49">
        <v>19</v>
      </c>
      <c r="B49">
        <v>13.0562892065279</v>
      </c>
      <c r="D49">
        <v>46</v>
      </c>
      <c r="E49">
        <v>2.4584761925689098</v>
      </c>
      <c r="F49">
        <f>STDEVP(B$2:B49)</f>
        <v>2.4584761925689103</v>
      </c>
      <c r="H49">
        <v>45</v>
      </c>
      <c r="I49">
        <v>0.103680983446585</v>
      </c>
      <c r="J49">
        <f t="shared" si="0"/>
        <v>0.10368098344658394</v>
      </c>
      <c r="L49">
        <f t="shared" si="1"/>
        <v>8.3025467260848029E-2</v>
      </c>
      <c r="N49">
        <f t="shared" si="2"/>
        <v>3.6145629655810381</v>
      </c>
    </row>
    <row r="50" spans="1:14">
      <c r="A50">
        <v>18</v>
      </c>
      <c r="B50">
        <v>13.2394905978908</v>
      </c>
      <c r="D50">
        <v>47</v>
      </c>
      <c r="E50">
        <v>2.5569996260171699</v>
      </c>
      <c r="F50">
        <f>STDEVP(B$2:B50)</f>
        <v>2.5569996260171726</v>
      </c>
      <c r="H50">
        <v>46</v>
      </c>
      <c r="I50">
        <v>9.8523433448261893E-2</v>
      </c>
      <c r="J50">
        <f t="shared" si="0"/>
        <v>9.852343344826231E-2</v>
      </c>
      <c r="L50">
        <f t="shared" si="1"/>
        <v>8.818301725916966E-2</v>
      </c>
      <c r="N50">
        <f t="shared" si="2"/>
        <v>3.6197205155793597</v>
      </c>
    </row>
    <row r="51" spans="1:14">
      <c r="A51">
        <v>17</v>
      </c>
      <c r="B51">
        <v>13.479314741645901</v>
      </c>
      <c r="D51">
        <v>48</v>
      </c>
      <c r="E51">
        <v>2.65343676987758</v>
      </c>
      <c r="F51">
        <f>STDEVP(B$2:B51)</f>
        <v>2.6534367698775818</v>
      </c>
      <c r="H51">
        <v>47</v>
      </c>
      <c r="I51">
        <v>9.6437143860411897E-2</v>
      </c>
      <c r="J51">
        <f t="shared" si="0"/>
        <v>9.6437143860409247E-2</v>
      </c>
      <c r="L51">
        <f t="shared" si="1"/>
        <v>9.0269306847022723E-2</v>
      </c>
      <c r="N51">
        <f t="shared" si="2"/>
        <v>3.6218068051672128</v>
      </c>
    </row>
    <row r="52" spans="1:14">
      <c r="A52">
        <v>16</v>
      </c>
      <c r="B52">
        <v>14.0162392958448</v>
      </c>
      <c r="D52">
        <v>49</v>
      </c>
      <c r="E52">
        <v>2.7603778704987301</v>
      </c>
      <c r="F52">
        <f>STDEVP(B$2:B52)</f>
        <v>2.7603778704987336</v>
      </c>
      <c r="H52">
        <v>48</v>
      </c>
      <c r="I52">
        <v>0.10694110062114701</v>
      </c>
      <c r="J52">
        <f t="shared" si="0"/>
        <v>0.10694110062115181</v>
      </c>
      <c r="L52">
        <f t="shared" si="1"/>
        <v>7.9765350086280162E-2</v>
      </c>
      <c r="N52">
        <f t="shared" si="2"/>
        <v>3.6113028484064702</v>
      </c>
    </row>
    <row r="53" spans="1:14">
      <c r="A53">
        <v>15</v>
      </c>
      <c r="B53">
        <v>14.092716285816399</v>
      </c>
      <c r="D53">
        <v>50</v>
      </c>
      <c r="E53">
        <v>2.8577463234285898</v>
      </c>
      <c r="F53">
        <f>STDEVP(B$2:B53)</f>
        <v>2.8577463234285858</v>
      </c>
      <c r="H53">
        <v>49</v>
      </c>
      <c r="I53">
        <v>9.7368452929854896E-2</v>
      </c>
      <c r="J53">
        <f t="shared" si="0"/>
        <v>9.7368452929852189E-2</v>
      </c>
      <c r="L53">
        <f t="shared" si="1"/>
        <v>8.9337997777579781E-2</v>
      </c>
      <c r="N53">
        <f t="shared" si="2"/>
        <v>3.6208754960977698</v>
      </c>
    </row>
    <row r="54" spans="1:14">
      <c r="A54">
        <v>14</v>
      </c>
      <c r="B54">
        <v>14.379787549814001</v>
      </c>
      <c r="D54">
        <v>51</v>
      </c>
      <c r="E54">
        <v>2.9550226207115502</v>
      </c>
      <c r="F54">
        <f>STDEVP(B$2:B54)</f>
        <v>2.9550226207115569</v>
      </c>
      <c r="H54">
        <v>50</v>
      </c>
      <c r="I54">
        <v>9.7276297282968799E-2</v>
      </c>
      <c r="J54">
        <f t="shared" si="0"/>
        <v>9.7276297282971047E-2</v>
      </c>
      <c r="L54">
        <f t="shared" si="1"/>
        <v>8.9430153424460923E-2</v>
      </c>
      <c r="N54">
        <f t="shared" si="2"/>
        <v>3.620967651744651</v>
      </c>
    </row>
    <row r="55" spans="1:14">
      <c r="A55">
        <v>13</v>
      </c>
      <c r="B55">
        <v>16.508150344390501</v>
      </c>
      <c r="D55">
        <v>52</v>
      </c>
      <c r="E55">
        <v>3.1314676712982199</v>
      </c>
      <c r="F55">
        <f>STDEVP(B$2:B55)</f>
        <v>3.131467671298223</v>
      </c>
      <c r="H55">
        <v>51</v>
      </c>
      <c r="I55">
        <v>0.17644505058666901</v>
      </c>
      <c r="J55">
        <f t="shared" si="0"/>
        <v>0.17644505058666615</v>
      </c>
      <c r="L55">
        <f t="shared" si="1"/>
        <v>1.0261400120765818E-2</v>
      </c>
      <c r="N55">
        <f t="shared" si="2"/>
        <v>3.5417988984409559</v>
      </c>
    </row>
    <row r="56" spans="1:14">
      <c r="A56">
        <v>12</v>
      </c>
      <c r="B56">
        <v>17.230211102465599</v>
      </c>
      <c r="D56">
        <v>53</v>
      </c>
      <c r="E56">
        <v>3.3188522833191501</v>
      </c>
      <c r="F56">
        <f>STDEVP(B$2:B56)</f>
        <v>3.3188522833191532</v>
      </c>
      <c r="H56">
        <v>52</v>
      </c>
      <c r="I56">
        <v>0.18738461202093101</v>
      </c>
      <c r="J56">
        <f t="shared" si="0"/>
        <v>0.18738461202093015</v>
      </c>
      <c r="L56">
        <f t="shared" si="1"/>
        <v>-6.7816131349818232E-4</v>
      </c>
      <c r="N56">
        <f t="shared" si="2"/>
        <v>3.5308593370066919</v>
      </c>
    </row>
    <row r="57" spans="1:14">
      <c r="A57">
        <v>11</v>
      </c>
      <c r="B57">
        <v>18.299586471564702</v>
      </c>
      <c r="D57">
        <v>54</v>
      </c>
      <c r="E57">
        <v>3.5321851911438</v>
      </c>
      <c r="F57">
        <f>STDEVP(B$2:B57)</f>
        <v>3.5321851911438009</v>
      </c>
      <c r="H57">
        <v>53</v>
      </c>
      <c r="I57">
        <v>0.21333290782464401</v>
      </c>
      <c r="J57">
        <f t="shared" si="0"/>
        <v>0.21333290782464776</v>
      </c>
      <c r="L57">
        <f t="shared" si="1"/>
        <v>-2.6626457117215785E-2</v>
      </c>
      <c r="N57">
        <f t="shared" si="2"/>
        <v>3.5049110412029743</v>
      </c>
    </row>
    <row r="58" spans="1:14">
      <c r="A58">
        <v>10</v>
      </c>
      <c r="B58">
        <v>20.163290450935001</v>
      </c>
      <c r="D58">
        <v>55</v>
      </c>
      <c r="E58">
        <v>3.8082616905394699</v>
      </c>
      <c r="F58">
        <f>STDEVP(B$2:B58)</f>
        <v>3.8082616905394682</v>
      </c>
      <c r="H58">
        <v>54</v>
      </c>
      <c r="I58">
        <v>0.27607649939566598</v>
      </c>
      <c r="J58">
        <f t="shared" si="0"/>
        <v>0.27607649939566725</v>
      </c>
      <c r="L58">
        <f t="shared" si="1"/>
        <v>-8.9370048688235282E-2</v>
      </c>
      <c r="N58">
        <f t="shared" si="2"/>
        <v>3.4421674496319548</v>
      </c>
    </row>
    <row r="59" spans="1:14">
      <c r="A59">
        <v>9</v>
      </c>
      <c r="B59">
        <v>20.252882673340501</v>
      </c>
      <c r="D59">
        <v>56</v>
      </c>
      <c r="E59">
        <v>4.05186259775948</v>
      </c>
      <c r="F59">
        <f>STDEVP(B$2:B59)</f>
        <v>4.05186259775948</v>
      </c>
      <c r="H59">
        <v>55</v>
      </c>
      <c r="I59">
        <v>0.24360090722001701</v>
      </c>
      <c r="J59">
        <f t="shared" si="0"/>
        <v>0.24360090722001182</v>
      </c>
      <c r="L59">
        <f t="shared" si="1"/>
        <v>-5.689445651257985E-2</v>
      </c>
      <c r="N59">
        <f t="shared" si="2"/>
        <v>3.4746430418076102</v>
      </c>
    </row>
    <row r="60" spans="1:14">
      <c r="A60">
        <v>8</v>
      </c>
      <c r="B60">
        <v>20.321837596922698</v>
      </c>
      <c r="D60">
        <v>57</v>
      </c>
      <c r="E60">
        <v>4.2685926391664397</v>
      </c>
      <c r="F60">
        <f>STDEVP(B$2:B60)</f>
        <v>4.2685926391664442</v>
      </c>
      <c r="H60">
        <v>56</v>
      </c>
      <c r="I60">
        <v>0.216730041406962</v>
      </c>
      <c r="J60">
        <f t="shared" si="0"/>
        <v>0.21673004140696417</v>
      </c>
      <c r="L60">
        <f t="shared" si="1"/>
        <v>-3.0023590699532199E-2</v>
      </c>
      <c r="N60">
        <f t="shared" si="2"/>
        <v>3.5015139076206578</v>
      </c>
    </row>
    <row r="61" spans="1:14">
      <c r="A61">
        <v>7</v>
      </c>
      <c r="B61">
        <v>22.5091208077068</v>
      </c>
      <c r="D61">
        <v>58</v>
      </c>
      <c r="E61">
        <v>4.5565340692776504</v>
      </c>
      <c r="F61">
        <f>STDEVP(B$2:B61)</f>
        <v>4.5565340692776486</v>
      </c>
      <c r="H61">
        <v>57</v>
      </c>
      <c r="I61">
        <v>0.28794143011120699</v>
      </c>
      <c r="J61">
        <f t="shared" si="0"/>
        <v>0.28794143011120443</v>
      </c>
      <c r="L61">
        <f t="shared" si="1"/>
        <v>-0.10123497940377246</v>
      </c>
      <c r="N61">
        <f t="shared" si="2"/>
        <v>3.4303025189164176</v>
      </c>
    </row>
    <row r="62" spans="1:14">
      <c r="A62">
        <v>6</v>
      </c>
      <c r="B62">
        <v>23.923846253686101</v>
      </c>
      <c r="D62">
        <v>59</v>
      </c>
      <c r="E62">
        <v>4.8735424269510803</v>
      </c>
      <c r="F62">
        <f>STDEVP(B$2:B62)</f>
        <v>4.8735424269510768</v>
      </c>
      <c r="H62">
        <v>58</v>
      </c>
      <c r="I62">
        <v>0.317008357673425</v>
      </c>
      <c r="J62">
        <f t="shared" si="0"/>
        <v>0.31700835767342816</v>
      </c>
      <c r="L62">
        <f t="shared" si="1"/>
        <v>-0.13030190696599619</v>
      </c>
      <c r="N62">
        <f t="shared" si="2"/>
        <v>3.4012355913541938</v>
      </c>
    </row>
    <row r="63" spans="1:14">
      <c r="A63">
        <v>5</v>
      </c>
      <c r="B63">
        <v>25.338590838511799</v>
      </c>
      <c r="D63">
        <v>60</v>
      </c>
      <c r="E63">
        <v>5.2158539903976102</v>
      </c>
      <c r="F63">
        <f>STDEVP(B$2:B63)</f>
        <v>5.215853990397612</v>
      </c>
      <c r="H63">
        <v>59</v>
      </c>
      <c r="I63">
        <v>0.34231156344653901</v>
      </c>
      <c r="J63">
        <f t="shared" si="0"/>
        <v>0.34231156344653524</v>
      </c>
      <c r="L63">
        <f t="shared" si="1"/>
        <v>-0.15560511273910327</v>
      </c>
      <c r="N63">
        <f t="shared" si="2"/>
        <v>3.3759323855810868</v>
      </c>
    </row>
    <row r="64" spans="1:14">
      <c r="A64">
        <v>4</v>
      </c>
      <c r="B64">
        <v>28.723004544448202</v>
      </c>
      <c r="D64">
        <v>61</v>
      </c>
      <c r="E64">
        <v>5.6767839194031202</v>
      </c>
      <c r="F64">
        <f>STDEVP(B$2:B64)</f>
        <v>5.6767839194031193</v>
      </c>
      <c r="H64">
        <v>60</v>
      </c>
      <c r="I64">
        <v>0.460929929005506</v>
      </c>
      <c r="J64">
        <f t="shared" si="0"/>
        <v>0.46092992900550733</v>
      </c>
      <c r="L64">
        <f t="shared" si="1"/>
        <v>-0.27422347829807536</v>
      </c>
      <c r="N64">
        <f t="shared" si="2"/>
        <v>3.2573140200221147</v>
      </c>
    </row>
    <row r="65" spans="1:14">
      <c r="A65">
        <v>3</v>
      </c>
      <c r="B65">
        <v>30.863811824284301</v>
      </c>
      <c r="D65">
        <v>62</v>
      </c>
      <c r="E65">
        <v>6.18088305189415</v>
      </c>
      <c r="F65">
        <f>STDEVP(B$2:B65)</f>
        <v>6.1808830518941491</v>
      </c>
      <c r="H65">
        <v>61</v>
      </c>
      <c r="I65">
        <v>0.50409913249103</v>
      </c>
      <c r="J65">
        <f t="shared" si="0"/>
        <v>0.50409913249102978</v>
      </c>
      <c r="L65">
        <f t="shared" si="1"/>
        <v>-0.31739268178359781</v>
      </c>
      <c r="N65">
        <f t="shared" si="2"/>
        <v>3.2141448165365922</v>
      </c>
    </row>
    <row r="66" spans="1:14">
      <c r="A66">
        <v>2</v>
      </c>
      <c r="B66">
        <v>32.179551168443702</v>
      </c>
      <c r="D66">
        <v>63</v>
      </c>
      <c r="E66">
        <v>6.6807312249750304</v>
      </c>
      <c r="F66">
        <f>STDEVP(B$2:B66)</f>
        <v>6.6807312249750339</v>
      </c>
      <c r="H66">
        <v>62</v>
      </c>
      <c r="I66">
        <v>0.49984817308088603</v>
      </c>
      <c r="J66">
        <f t="shared" si="0"/>
        <v>0.49984817308088481</v>
      </c>
      <c r="L66">
        <f t="shared" si="1"/>
        <v>-0.31314172237345284</v>
      </c>
      <c r="N66">
        <f t="shared" si="2"/>
        <v>3.2183957759467372</v>
      </c>
    </row>
    <row r="67" spans="1:14">
      <c r="A67">
        <v>1</v>
      </c>
      <c r="B67">
        <v>43.733114650475997</v>
      </c>
      <c r="D67">
        <v>64</v>
      </c>
      <c r="E67">
        <v>7.7430884695314903</v>
      </c>
      <c r="F67">
        <f>STDEVP(B$2:B67)</f>
        <v>7.7430884695314939</v>
      </c>
      <c r="H67">
        <v>63</v>
      </c>
      <c r="I67">
        <v>1.06235724455646</v>
      </c>
      <c r="J67">
        <f t="shared" si="0"/>
        <v>1.06235724455646</v>
      </c>
      <c r="L67">
        <f t="shared" si="1"/>
        <v>-0.875650793849028</v>
      </c>
      <c r="N67">
        <f t="shared" si="2"/>
        <v>2.655886704471162</v>
      </c>
    </row>
    <row r="68" spans="1:14">
      <c r="A68">
        <v>0</v>
      </c>
      <c r="B68">
        <v>673.23656246871803</v>
      </c>
      <c r="D68">
        <v>65</v>
      </c>
      <c r="E68">
        <v>80.607457865640995</v>
      </c>
      <c r="F68">
        <f>STDEVP(B$2:B68)</f>
        <v>80.607457865640953</v>
      </c>
      <c r="H68">
        <v>64</v>
      </c>
      <c r="I68">
        <v>72.864369396109495</v>
      </c>
      <c r="J68">
        <f t="shared" si="0"/>
        <v>72.864369396109453</v>
      </c>
      <c r="L68">
        <f t="shared" si="1"/>
        <v>-72.67766294540202</v>
      </c>
      <c r="N68">
        <f t="shared" si="2"/>
        <v>-69.146125447081829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9"/>
  <sheetViews>
    <sheetView tabSelected="1" topLeftCell="A120" zoomScale="130" zoomScaleNormal="130" workbookViewId="0">
      <selection activeCell="E150" sqref="E150"/>
    </sheetView>
  </sheetViews>
  <sheetFormatPr defaultRowHeight="15"/>
  <sheetData>
    <row r="1" spans="1:5">
      <c r="A1">
        <v>147</v>
      </c>
      <c r="B1">
        <v>5.0201723890616199</v>
      </c>
      <c r="E1" t="s">
        <v>8</v>
      </c>
    </row>
    <row r="2" spans="1:5">
      <c r="A2">
        <v>146</v>
      </c>
      <c r="B2">
        <v>5.0525487898689097</v>
      </c>
      <c r="D2">
        <v>0</v>
      </c>
      <c r="E2">
        <v>1.6188200403875402E-2</v>
      </c>
    </row>
    <row r="3" spans="1:5">
      <c r="A3">
        <v>145</v>
      </c>
      <c r="B3">
        <v>5.0603425795030104</v>
      </c>
      <c r="D3">
        <v>1</v>
      </c>
      <c r="E3">
        <v>1.7392906236655199E-2</v>
      </c>
    </row>
    <row r="4" spans="1:5">
      <c r="A4">
        <v>144</v>
      </c>
      <c r="B4">
        <v>5.0764607392540597</v>
      </c>
      <c r="D4">
        <v>2</v>
      </c>
      <c r="E4">
        <v>2.0497825266901401E-2</v>
      </c>
    </row>
    <row r="5" spans="1:5">
      <c r="A5">
        <v>143</v>
      </c>
      <c r="B5">
        <v>5.0934469479923301</v>
      </c>
      <c r="D5">
        <v>3</v>
      </c>
      <c r="E5">
        <v>2.46161120206723E-2</v>
      </c>
    </row>
    <row r="6" spans="1:5">
      <c r="A6">
        <v>142</v>
      </c>
      <c r="B6">
        <v>5.1052369456975404</v>
      </c>
      <c r="D6">
        <v>4</v>
      </c>
      <c r="E6">
        <v>2.7960002709688299E-2</v>
      </c>
    </row>
    <row r="7" spans="1:5">
      <c r="A7">
        <v>141</v>
      </c>
      <c r="B7">
        <v>5.1211883733972599</v>
      </c>
      <c r="D7">
        <v>5</v>
      </c>
      <c r="E7">
        <v>3.1875347518787601E-2</v>
      </c>
    </row>
    <row r="8" spans="1:5">
      <c r="A8">
        <v>140</v>
      </c>
      <c r="B8">
        <v>5.1421040034906298</v>
      </c>
      <c r="D8">
        <v>6</v>
      </c>
      <c r="E8">
        <v>3.7045459246790202E-2</v>
      </c>
    </row>
    <row r="9" spans="1:5">
      <c r="A9">
        <v>139</v>
      </c>
      <c r="B9">
        <v>5.1621166429295702</v>
      </c>
      <c r="D9">
        <v>7</v>
      </c>
      <c r="E9">
        <v>4.2702829386577802E-2</v>
      </c>
    </row>
    <row r="10" spans="1:5">
      <c r="A10">
        <v>138</v>
      </c>
      <c r="B10">
        <v>5.1953186257422699</v>
      </c>
      <c r="D10">
        <v>8</v>
      </c>
      <c r="E10">
        <v>5.0895307538969099E-2</v>
      </c>
    </row>
    <row r="11" spans="1:5">
      <c r="A11">
        <v>137</v>
      </c>
      <c r="B11">
        <v>5.2432328387188498</v>
      </c>
      <c r="D11">
        <v>9</v>
      </c>
      <c r="E11">
        <v>6.3107383565451994E-2</v>
      </c>
    </row>
    <row r="12" spans="1:5">
      <c r="A12">
        <v>136</v>
      </c>
      <c r="B12">
        <v>5.2433302388845</v>
      </c>
      <c r="D12">
        <v>10</v>
      </c>
      <c r="E12">
        <v>6.9970995128601193E-2</v>
      </c>
    </row>
    <row r="13" spans="1:5">
      <c r="A13">
        <v>135</v>
      </c>
      <c r="B13">
        <v>5.2615157221483404</v>
      </c>
      <c r="D13">
        <v>11</v>
      </c>
      <c r="E13">
        <v>7.6273931989375404E-2</v>
      </c>
    </row>
    <row r="14" spans="1:5">
      <c r="A14">
        <v>134</v>
      </c>
      <c r="B14">
        <v>5.2881166919208598</v>
      </c>
      <c r="D14">
        <v>12</v>
      </c>
      <c r="E14">
        <v>8.3204343126286801E-2</v>
      </c>
    </row>
    <row r="15" spans="1:5">
      <c r="A15">
        <v>133</v>
      </c>
      <c r="B15">
        <v>5.3111602703448204</v>
      </c>
      <c r="D15">
        <v>13</v>
      </c>
      <c r="E15">
        <v>9.0154551167292596E-2</v>
      </c>
    </row>
    <row r="16" spans="1:5">
      <c r="A16">
        <v>132</v>
      </c>
      <c r="B16">
        <v>5.37553384916355</v>
      </c>
      <c r="D16">
        <v>14</v>
      </c>
      <c r="E16">
        <v>0.101891529653753</v>
      </c>
    </row>
    <row r="17" spans="1:5">
      <c r="A17">
        <v>131</v>
      </c>
      <c r="B17">
        <v>5.4119385093557097</v>
      </c>
      <c r="D17">
        <v>15</v>
      </c>
      <c r="E17">
        <v>0.113836583526272</v>
      </c>
    </row>
    <row r="18" spans="1:5">
      <c r="A18">
        <v>130</v>
      </c>
      <c r="B18">
        <v>5.4375247545099796</v>
      </c>
      <c r="D18">
        <v>16</v>
      </c>
      <c r="E18">
        <v>0.12472185835047001</v>
      </c>
    </row>
    <row r="19" spans="1:5">
      <c r="A19">
        <v>129</v>
      </c>
      <c r="B19">
        <v>5.4520635240811197</v>
      </c>
      <c r="D19">
        <v>17</v>
      </c>
      <c r="E19">
        <v>0.13380220680465499</v>
      </c>
    </row>
    <row r="20" spans="1:5">
      <c r="A20">
        <v>128</v>
      </c>
      <c r="B20">
        <v>5.47784948900276</v>
      </c>
      <c r="D20">
        <v>18</v>
      </c>
      <c r="E20">
        <v>0.14258811869376001</v>
      </c>
    </row>
    <row r="21" spans="1:5">
      <c r="A21">
        <v>127</v>
      </c>
      <c r="B21">
        <v>5.5004823478532003</v>
      </c>
      <c r="D21">
        <v>19</v>
      </c>
      <c r="E21">
        <v>0.150884347499944</v>
      </c>
    </row>
    <row r="22" spans="1:5">
      <c r="A22">
        <v>126</v>
      </c>
      <c r="B22">
        <v>5.5157519978141902</v>
      </c>
      <c r="D22">
        <v>20</v>
      </c>
      <c r="E22">
        <v>0.15824021766770399</v>
      </c>
    </row>
    <row r="23" spans="1:5">
      <c r="A23">
        <v>125</v>
      </c>
      <c r="B23">
        <v>5.5389313909691698</v>
      </c>
      <c r="D23">
        <v>21</v>
      </c>
      <c r="E23">
        <v>0.16544322860372099</v>
      </c>
    </row>
    <row r="24" spans="1:5">
      <c r="A24">
        <v>124</v>
      </c>
      <c r="B24">
        <v>5.7309412984301096</v>
      </c>
      <c r="D24">
        <v>22</v>
      </c>
      <c r="E24">
        <v>0.18685269878938399</v>
      </c>
    </row>
    <row r="25" spans="1:5">
      <c r="A25">
        <v>123</v>
      </c>
      <c r="B25">
        <v>5.7458387038406702</v>
      </c>
      <c r="D25">
        <v>23</v>
      </c>
      <c r="E25">
        <v>0.204220388256141</v>
      </c>
    </row>
    <row r="26" spans="1:5">
      <c r="A26">
        <v>122</v>
      </c>
      <c r="B26">
        <v>5.7990597056957398</v>
      </c>
      <c r="D26">
        <v>24</v>
      </c>
      <c r="E26">
        <v>0.221855155179841</v>
      </c>
    </row>
    <row r="27" spans="1:5">
      <c r="A27">
        <v>121</v>
      </c>
      <c r="B27">
        <v>5.8021343898138804</v>
      </c>
      <c r="D27">
        <v>25</v>
      </c>
      <c r="E27">
        <v>0.23586340941713499</v>
      </c>
    </row>
    <row r="28" spans="1:5">
      <c r="A28">
        <v>120</v>
      </c>
      <c r="B28">
        <v>5.8060168626167199</v>
      </c>
      <c r="D28">
        <v>26</v>
      </c>
      <c r="E28">
        <v>0.247270016939521</v>
      </c>
    </row>
    <row r="29" spans="1:5">
      <c r="A29">
        <v>119</v>
      </c>
      <c r="B29">
        <v>5.8370130522026002</v>
      </c>
      <c r="D29">
        <v>27</v>
      </c>
      <c r="E29">
        <v>0.258330571247883</v>
      </c>
    </row>
    <row r="30" spans="1:5">
      <c r="A30">
        <v>118</v>
      </c>
      <c r="B30">
        <v>5.8565288867652399</v>
      </c>
      <c r="D30">
        <v>28</v>
      </c>
      <c r="E30">
        <v>0.26842895771418801</v>
      </c>
    </row>
    <row r="31" spans="1:5">
      <c r="A31">
        <v>117</v>
      </c>
      <c r="B31">
        <v>5.89274573017377</v>
      </c>
      <c r="D31">
        <v>29</v>
      </c>
      <c r="E31">
        <v>0.27867169909730599</v>
      </c>
    </row>
    <row r="32" spans="1:5">
      <c r="A32">
        <v>116</v>
      </c>
      <c r="B32">
        <v>5.8931711322508704</v>
      </c>
      <c r="D32">
        <v>30</v>
      </c>
      <c r="E32">
        <v>0.28713068667455799</v>
      </c>
    </row>
    <row r="33" spans="1:5">
      <c r="A33">
        <v>115</v>
      </c>
      <c r="B33">
        <v>5.8955995794210203</v>
      </c>
      <c r="D33">
        <v>31</v>
      </c>
      <c r="E33">
        <v>0.29425131900594698</v>
      </c>
    </row>
    <row r="34" spans="1:5">
      <c r="A34">
        <v>114</v>
      </c>
      <c r="B34">
        <v>5.9181529201832497</v>
      </c>
      <c r="D34">
        <v>32</v>
      </c>
      <c r="E34">
        <v>0.30117954748085501</v>
      </c>
    </row>
    <row r="35" spans="1:5">
      <c r="A35">
        <v>113</v>
      </c>
      <c r="B35">
        <v>5.9183202465332103</v>
      </c>
      <c r="D35">
        <v>33</v>
      </c>
      <c r="E35">
        <v>0.30697340776724402</v>
      </c>
    </row>
    <row r="36" spans="1:5">
      <c r="A36">
        <v>112</v>
      </c>
      <c r="B36">
        <v>5.9764567731970102</v>
      </c>
      <c r="D36">
        <v>34</v>
      </c>
      <c r="E36">
        <v>0.314250332902066</v>
      </c>
    </row>
    <row r="37" spans="1:5">
      <c r="A37">
        <v>111</v>
      </c>
      <c r="B37">
        <v>6.08133581639916</v>
      </c>
      <c r="D37">
        <v>35</v>
      </c>
      <c r="E37">
        <v>0.325115981133968</v>
      </c>
    </row>
    <row r="38" spans="1:5">
      <c r="A38">
        <v>110</v>
      </c>
      <c r="B38">
        <v>6.0896606434470799</v>
      </c>
      <c r="D38">
        <v>36</v>
      </c>
      <c r="E38">
        <v>0.33472658166260699</v>
      </c>
    </row>
    <row r="39" spans="1:5">
      <c r="A39">
        <v>109</v>
      </c>
      <c r="B39">
        <v>6.1436172885357196</v>
      </c>
      <c r="D39">
        <v>37</v>
      </c>
      <c r="E39">
        <v>0.34531353570062201</v>
      </c>
    </row>
    <row r="40" spans="1:5">
      <c r="A40">
        <v>108</v>
      </c>
      <c r="B40">
        <v>6.1670754253332003</v>
      </c>
      <c r="D40">
        <v>38</v>
      </c>
      <c r="E40">
        <v>0.35540244379699398</v>
      </c>
    </row>
    <row r="41" spans="1:5">
      <c r="A41">
        <v>107</v>
      </c>
      <c r="B41">
        <v>6.1995326836589202</v>
      </c>
      <c r="D41">
        <v>39</v>
      </c>
      <c r="E41">
        <v>0.365444027117932</v>
      </c>
    </row>
    <row r="42" spans="1:5">
      <c r="A42">
        <v>106</v>
      </c>
      <c r="B42">
        <v>6.2383195186517</v>
      </c>
      <c r="D42">
        <v>40</v>
      </c>
      <c r="E42">
        <v>0.37570833011633697</v>
      </c>
    </row>
    <row r="43" spans="1:5">
      <c r="A43">
        <v>105</v>
      </c>
      <c r="B43">
        <v>6.2391287078552704</v>
      </c>
      <c r="D43">
        <v>41</v>
      </c>
      <c r="E43">
        <v>0.38463584195317202</v>
      </c>
    </row>
    <row r="44" spans="1:5">
      <c r="A44">
        <v>104</v>
      </c>
      <c r="B44">
        <v>6.2732537743944699</v>
      </c>
      <c r="D44">
        <v>42</v>
      </c>
      <c r="E44">
        <v>0.39368585255869698</v>
      </c>
    </row>
    <row r="45" spans="1:5">
      <c r="A45">
        <v>103</v>
      </c>
      <c r="B45">
        <v>6.2960603573771099</v>
      </c>
      <c r="D45">
        <v>43</v>
      </c>
      <c r="E45">
        <v>0.40241939537965699</v>
      </c>
    </row>
    <row r="46" spans="1:5">
      <c r="A46">
        <v>102</v>
      </c>
      <c r="B46">
        <v>6.3555259094468299</v>
      </c>
      <c r="D46">
        <v>44</v>
      </c>
      <c r="E46">
        <v>0.41223242654859599</v>
      </c>
    </row>
    <row r="47" spans="1:5">
      <c r="A47">
        <v>101</v>
      </c>
      <c r="B47">
        <v>6.3631757740546098</v>
      </c>
      <c r="D47">
        <v>45</v>
      </c>
      <c r="E47">
        <v>0.42111826755037302</v>
      </c>
    </row>
    <row r="48" spans="1:5">
      <c r="A48">
        <v>100</v>
      </c>
      <c r="B48">
        <v>6.3823105067260197</v>
      </c>
      <c r="D48">
        <v>46</v>
      </c>
      <c r="E48">
        <v>0.42959371096475701</v>
      </c>
    </row>
    <row r="49" spans="1:5">
      <c r="A49">
        <v>99</v>
      </c>
      <c r="B49">
        <v>6.3933329670308598</v>
      </c>
      <c r="D49">
        <v>47</v>
      </c>
      <c r="E49">
        <v>0.437434059875356</v>
      </c>
    </row>
    <row r="50" spans="1:5">
      <c r="A50">
        <v>98</v>
      </c>
      <c r="B50">
        <v>6.41411495348882</v>
      </c>
      <c r="D50">
        <v>48</v>
      </c>
      <c r="E50">
        <v>0.44502686024378602</v>
      </c>
    </row>
    <row r="51" spans="1:5">
      <c r="A51">
        <v>97</v>
      </c>
      <c r="B51">
        <v>6.4234815457830301</v>
      </c>
      <c r="D51">
        <v>49</v>
      </c>
      <c r="E51">
        <v>0.452042126230218</v>
      </c>
    </row>
    <row r="52" spans="1:5">
      <c r="A52">
        <v>96</v>
      </c>
      <c r="B52">
        <v>6.4678404864022099</v>
      </c>
      <c r="D52">
        <v>50</v>
      </c>
      <c r="E52">
        <v>0.45960858588695702</v>
      </c>
    </row>
    <row r="53" spans="1:5">
      <c r="A53">
        <v>95</v>
      </c>
      <c r="B53">
        <v>6.5186186205315</v>
      </c>
      <c r="D53">
        <v>51</v>
      </c>
      <c r="E53">
        <v>0.46789060128342402</v>
      </c>
    </row>
    <row r="54" spans="1:5">
      <c r="A54">
        <v>94</v>
      </c>
      <c r="B54">
        <v>6.6568557566530604</v>
      </c>
      <c r="D54">
        <v>52</v>
      </c>
      <c r="E54">
        <v>0.47974571756847501</v>
      </c>
    </row>
    <row r="55" spans="1:5">
      <c r="A55">
        <v>93</v>
      </c>
      <c r="B55">
        <v>6.7408495784360598</v>
      </c>
      <c r="D55">
        <v>53</v>
      </c>
      <c r="E55">
        <v>0.49321523006745099</v>
      </c>
    </row>
    <row r="56" spans="1:5">
      <c r="A56">
        <v>92</v>
      </c>
      <c r="B56">
        <v>6.80445107399047</v>
      </c>
      <c r="D56">
        <v>54</v>
      </c>
      <c r="E56">
        <v>0.50746295153446497</v>
      </c>
    </row>
    <row r="57" spans="1:5">
      <c r="A57">
        <v>91</v>
      </c>
      <c r="B57">
        <v>6.8636967567479497</v>
      </c>
      <c r="D57">
        <v>55</v>
      </c>
      <c r="E57">
        <v>0.52226506375251702</v>
      </c>
    </row>
    <row r="58" spans="1:5">
      <c r="A58">
        <v>90</v>
      </c>
      <c r="B58">
        <v>6.8886255539312398</v>
      </c>
      <c r="D58">
        <v>56</v>
      </c>
      <c r="E58">
        <v>0.53638318156624398</v>
      </c>
    </row>
    <row r="59" spans="1:5">
      <c r="A59">
        <v>89</v>
      </c>
      <c r="B59">
        <v>6.9886519990932898</v>
      </c>
      <c r="D59">
        <v>57</v>
      </c>
      <c r="E59">
        <v>0.55243632117033703</v>
      </c>
    </row>
    <row r="60" spans="1:5">
      <c r="A60">
        <v>88</v>
      </c>
      <c r="B60">
        <v>6.9980234481495502</v>
      </c>
      <c r="D60">
        <v>58</v>
      </c>
      <c r="E60">
        <v>0.56718664056407497</v>
      </c>
    </row>
    <row r="61" spans="1:5">
      <c r="A61">
        <v>87</v>
      </c>
      <c r="B61">
        <v>7.0126534750857603</v>
      </c>
      <c r="D61">
        <v>59</v>
      </c>
      <c r="E61">
        <v>0.580959099487658</v>
      </c>
    </row>
    <row r="62" spans="1:5">
      <c r="A62">
        <v>86</v>
      </c>
      <c r="B62">
        <v>7.0414313079918598</v>
      </c>
      <c r="D62">
        <v>60</v>
      </c>
      <c r="E62">
        <v>0.59429572945678</v>
      </c>
    </row>
    <row r="63" spans="1:5">
      <c r="A63">
        <v>85</v>
      </c>
      <c r="B63">
        <v>7.0425687591529202</v>
      </c>
      <c r="D63">
        <v>61</v>
      </c>
      <c r="E63">
        <v>0.60641929288437801</v>
      </c>
    </row>
    <row r="64" spans="1:5">
      <c r="A64">
        <v>84</v>
      </c>
      <c r="B64">
        <v>7.1885983249907301</v>
      </c>
      <c r="D64">
        <v>62</v>
      </c>
      <c r="E64">
        <v>0.62175293063612502</v>
      </c>
    </row>
    <row r="65" spans="1:5">
      <c r="A65">
        <v>83</v>
      </c>
      <c r="B65">
        <v>7.19251956786304</v>
      </c>
      <c r="D65">
        <v>63</v>
      </c>
      <c r="E65">
        <v>0.63579323324532799</v>
      </c>
    </row>
    <row r="66" spans="1:5">
      <c r="A66">
        <v>82</v>
      </c>
      <c r="B66">
        <v>7.3142868598963204</v>
      </c>
      <c r="D66">
        <v>64</v>
      </c>
      <c r="E66">
        <v>0.65217914317493997</v>
      </c>
    </row>
    <row r="67" spans="1:5">
      <c r="A67">
        <v>81</v>
      </c>
      <c r="B67">
        <v>7.4241071349547703</v>
      </c>
      <c r="D67">
        <v>65</v>
      </c>
      <c r="E67">
        <v>0.670436468726608</v>
      </c>
    </row>
    <row r="68" spans="1:5">
      <c r="A68">
        <v>80</v>
      </c>
      <c r="B68">
        <v>7.5033156987145997</v>
      </c>
      <c r="D68">
        <v>66</v>
      </c>
      <c r="E68">
        <v>0.68948236061621204</v>
      </c>
    </row>
    <row r="69" spans="1:5">
      <c r="A69">
        <v>79</v>
      </c>
      <c r="B69">
        <v>7.5312247602151698</v>
      </c>
      <c r="D69">
        <v>67</v>
      </c>
      <c r="E69">
        <v>0.70766878134873301</v>
      </c>
    </row>
    <row r="70" spans="1:5">
      <c r="A70">
        <v>78</v>
      </c>
      <c r="B70">
        <v>7.5322869538309103</v>
      </c>
      <c r="D70">
        <v>68</v>
      </c>
      <c r="E70">
        <v>0.72430174319844698</v>
      </c>
    </row>
    <row r="71" spans="1:5">
      <c r="A71">
        <v>77</v>
      </c>
      <c r="B71">
        <v>7.5552467992154799</v>
      </c>
      <c r="D71">
        <v>69</v>
      </c>
      <c r="E71">
        <v>0.74016168027906903</v>
      </c>
    </row>
    <row r="72" spans="1:5">
      <c r="A72">
        <v>76</v>
      </c>
      <c r="B72">
        <v>7.5579862397044497</v>
      </c>
      <c r="D72">
        <v>70</v>
      </c>
      <c r="E72">
        <v>0.754779290981764</v>
      </c>
    </row>
    <row r="73" spans="1:5">
      <c r="A73">
        <v>75</v>
      </c>
      <c r="B73">
        <v>7.6037344494524097</v>
      </c>
      <c r="D73">
        <v>71</v>
      </c>
      <c r="E73">
        <v>0.76939302851207902</v>
      </c>
    </row>
    <row r="74" spans="1:5">
      <c r="A74">
        <v>74</v>
      </c>
      <c r="B74">
        <v>7.6477895693686797</v>
      </c>
      <c r="D74">
        <v>72</v>
      </c>
      <c r="E74">
        <v>0.78395788051234305</v>
      </c>
    </row>
    <row r="75" spans="1:5">
      <c r="A75">
        <v>73</v>
      </c>
      <c r="B75">
        <v>7.6799758693324396</v>
      </c>
      <c r="D75">
        <v>73</v>
      </c>
      <c r="E75">
        <v>0.79817607581471195</v>
      </c>
    </row>
    <row r="76" spans="1:5">
      <c r="A76">
        <v>72</v>
      </c>
      <c r="B76">
        <v>7.6978025974495701</v>
      </c>
      <c r="D76">
        <v>74</v>
      </c>
      <c r="E76">
        <v>0.81172221764863195</v>
      </c>
    </row>
    <row r="77" spans="1:5">
      <c r="A77">
        <v>71</v>
      </c>
      <c r="B77">
        <v>7.7114490288349202</v>
      </c>
      <c r="D77">
        <v>75</v>
      </c>
      <c r="E77">
        <v>0.824553981369192</v>
      </c>
    </row>
    <row r="78" spans="1:5">
      <c r="A78">
        <v>70</v>
      </c>
      <c r="B78">
        <v>7.7595130035256199</v>
      </c>
      <c r="D78">
        <v>76</v>
      </c>
      <c r="E78">
        <v>0.83752713321566696</v>
      </c>
    </row>
    <row r="79" spans="1:5">
      <c r="A79">
        <v>69</v>
      </c>
      <c r="B79">
        <v>7.8048059077552603</v>
      </c>
      <c r="D79">
        <v>77</v>
      </c>
      <c r="E79">
        <v>0.850567880145502</v>
      </c>
    </row>
    <row r="80" spans="1:5">
      <c r="A80">
        <v>68</v>
      </c>
      <c r="B80">
        <v>7.9334761850331201</v>
      </c>
      <c r="D80">
        <v>78</v>
      </c>
      <c r="E80">
        <v>0.86562235595387604</v>
      </c>
    </row>
    <row r="81" spans="1:5">
      <c r="A81">
        <v>67</v>
      </c>
      <c r="B81">
        <v>7.9339575418018997</v>
      </c>
      <c r="D81">
        <v>79</v>
      </c>
      <c r="E81">
        <v>0.87958477007785296</v>
      </c>
    </row>
    <row r="82" spans="1:5">
      <c r="A82">
        <v>66</v>
      </c>
      <c r="B82">
        <v>8.0040058728800396</v>
      </c>
      <c r="D82">
        <v>80</v>
      </c>
      <c r="E82">
        <v>0.89412481514905096</v>
      </c>
    </row>
    <row r="83" spans="1:5">
      <c r="A83">
        <v>65</v>
      </c>
      <c r="B83">
        <v>8.0470094857697791</v>
      </c>
      <c r="D83">
        <v>81</v>
      </c>
      <c r="E83">
        <v>0.90859246409578298</v>
      </c>
    </row>
    <row r="84" spans="1:5">
      <c r="A84">
        <v>64</v>
      </c>
      <c r="B84">
        <v>8.1301270705133497</v>
      </c>
      <c r="D84">
        <v>82</v>
      </c>
      <c r="E84">
        <v>0.92389811757954898</v>
      </c>
    </row>
    <row r="85" spans="1:5">
      <c r="A85">
        <v>63</v>
      </c>
      <c r="B85">
        <v>8.2706736164648404</v>
      </c>
      <c r="D85">
        <v>83</v>
      </c>
      <c r="E85">
        <v>0.94133873849814897</v>
      </c>
    </row>
    <row r="86" spans="1:5">
      <c r="A86">
        <v>62</v>
      </c>
      <c r="B86">
        <v>8.3465942407324807</v>
      </c>
      <c r="D86">
        <v>84</v>
      </c>
      <c r="E86">
        <v>0.95931261837909299</v>
      </c>
    </row>
    <row r="87" spans="1:5">
      <c r="A87">
        <v>61</v>
      </c>
      <c r="B87">
        <v>8.4141471201925295</v>
      </c>
      <c r="D87">
        <v>85</v>
      </c>
      <c r="E87">
        <v>0.97759052563502502</v>
      </c>
    </row>
    <row r="88" spans="1:5">
      <c r="A88">
        <v>60</v>
      </c>
      <c r="B88">
        <v>8.6136871243933992</v>
      </c>
      <c r="D88">
        <v>86</v>
      </c>
      <c r="E88">
        <v>0.99930522527452503</v>
      </c>
    </row>
    <row r="89" spans="1:5">
      <c r="A89">
        <v>59</v>
      </c>
      <c r="B89">
        <v>8.6524549517944305</v>
      </c>
      <c r="D89">
        <v>87</v>
      </c>
      <c r="E89">
        <v>1.02042095502146</v>
      </c>
    </row>
    <row r="90" spans="1:5">
      <c r="A90">
        <v>58</v>
      </c>
      <c r="B90">
        <v>8.6774178317886701</v>
      </c>
      <c r="D90">
        <v>88</v>
      </c>
      <c r="E90">
        <v>1.0406616284892201</v>
      </c>
    </row>
    <row r="91" spans="1:5">
      <c r="A91">
        <v>57</v>
      </c>
      <c r="B91">
        <v>8.6949058003545403</v>
      </c>
      <c r="D91">
        <v>89</v>
      </c>
      <c r="E91">
        <v>1.0599293924872899</v>
      </c>
    </row>
    <row r="92" spans="1:5">
      <c r="A92">
        <v>56</v>
      </c>
      <c r="B92">
        <v>8.7553069574289708</v>
      </c>
      <c r="D92">
        <v>90</v>
      </c>
      <c r="E92">
        <v>1.0792483475925601</v>
      </c>
    </row>
    <row r="93" spans="1:5">
      <c r="A93">
        <v>55</v>
      </c>
      <c r="B93">
        <v>8.7613049866647703</v>
      </c>
      <c r="D93">
        <v>91</v>
      </c>
      <c r="E93">
        <v>1.09743245194669</v>
      </c>
    </row>
    <row r="94" spans="1:5">
      <c r="A94">
        <v>54</v>
      </c>
      <c r="B94">
        <v>8.8105550762640004</v>
      </c>
      <c r="D94">
        <v>92</v>
      </c>
      <c r="E94">
        <v>1.1154798917789099</v>
      </c>
    </row>
    <row r="95" spans="1:5">
      <c r="A95">
        <v>53</v>
      </c>
      <c r="B95">
        <v>8.9692917184855698</v>
      </c>
      <c r="D95">
        <v>93</v>
      </c>
      <c r="E95">
        <v>1.1357286054665301</v>
      </c>
    </row>
    <row r="96" spans="1:5">
      <c r="A96">
        <v>52</v>
      </c>
      <c r="B96">
        <v>9.0278274081340797</v>
      </c>
      <c r="D96">
        <v>94</v>
      </c>
      <c r="E96">
        <v>1.15592979988634</v>
      </c>
    </row>
    <row r="97" spans="1:5">
      <c r="A97">
        <v>51</v>
      </c>
      <c r="B97">
        <v>9.1881262625424203</v>
      </c>
      <c r="D97">
        <v>95</v>
      </c>
      <c r="E97">
        <v>1.1782821034445301</v>
      </c>
    </row>
    <row r="98" spans="1:5">
      <c r="A98">
        <v>50</v>
      </c>
      <c r="B98">
        <v>9.2905624060268206</v>
      </c>
      <c r="D98">
        <v>96</v>
      </c>
      <c r="E98">
        <v>1.20143215682463</v>
      </c>
    </row>
    <row r="99" spans="1:5">
      <c r="A99">
        <v>49</v>
      </c>
      <c r="B99">
        <v>9.3227356602536897</v>
      </c>
      <c r="D99">
        <v>97</v>
      </c>
      <c r="E99">
        <v>1.22380953324985</v>
      </c>
    </row>
    <row r="100" spans="1:5">
      <c r="A100">
        <v>48</v>
      </c>
      <c r="B100">
        <v>9.4013085172492392</v>
      </c>
      <c r="D100">
        <v>98</v>
      </c>
      <c r="E100">
        <v>1.24644852878002</v>
      </c>
    </row>
    <row r="101" spans="1:5">
      <c r="A101">
        <v>47</v>
      </c>
      <c r="B101">
        <v>9.40362787901757</v>
      </c>
      <c r="D101">
        <v>99</v>
      </c>
      <c r="E101">
        <v>1.2677464774866201</v>
      </c>
    </row>
    <row r="102" spans="1:5">
      <c r="A102">
        <v>46</v>
      </c>
      <c r="B102">
        <v>9.4060223925108595</v>
      </c>
      <c r="D102">
        <v>100</v>
      </c>
      <c r="E102">
        <v>1.2878129465306101</v>
      </c>
    </row>
    <row r="103" spans="1:5">
      <c r="A103">
        <v>45</v>
      </c>
      <c r="B103">
        <v>9.4177804567101298</v>
      </c>
      <c r="D103">
        <v>101</v>
      </c>
      <c r="E103">
        <v>1.30692313161649</v>
      </c>
    </row>
    <row r="104" spans="1:5">
      <c r="A104">
        <v>44</v>
      </c>
      <c r="B104">
        <v>9.6206614940594299</v>
      </c>
      <c r="D104">
        <v>102</v>
      </c>
      <c r="E104">
        <v>1.32884280454641</v>
      </c>
    </row>
    <row r="105" spans="1:5">
      <c r="A105">
        <v>43</v>
      </c>
      <c r="B105">
        <v>9.78282997454947</v>
      </c>
      <c r="D105">
        <v>103</v>
      </c>
      <c r="E105">
        <v>1.35270251010264</v>
      </c>
    </row>
    <row r="106" spans="1:5">
      <c r="A106">
        <v>42</v>
      </c>
      <c r="B106">
        <v>9.7880659122830593</v>
      </c>
      <c r="D106">
        <v>104</v>
      </c>
      <c r="E106">
        <v>1.3752641903110401</v>
      </c>
    </row>
    <row r="107" spans="1:5">
      <c r="A107">
        <v>41</v>
      </c>
      <c r="B107">
        <v>9.8596604648534694</v>
      </c>
      <c r="D107">
        <v>105</v>
      </c>
      <c r="E107">
        <v>1.3979092995984399</v>
      </c>
    </row>
    <row r="108" spans="1:5">
      <c r="A108">
        <v>40</v>
      </c>
      <c r="B108">
        <v>10.023005379839701</v>
      </c>
      <c r="D108">
        <v>106</v>
      </c>
      <c r="E108">
        <v>1.4224301522351299</v>
      </c>
    </row>
    <row r="109" spans="1:5">
      <c r="A109">
        <v>39</v>
      </c>
      <c r="B109">
        <v>10.0592226804344</v>
      </c>
      <c r="D109">
        <v>107</v>
      </c>
      <c r="E109">
        <v>1.4462479886372701</v>
      </c>
    </row>
    <row r="110" spans="1:5">
      <c r="A110">
        <v>38</v>
      </c>
      <c r="B110">
        <v>10.131587599539101</v>
      </c>
      <c r="D110">
        <v>108</v>
      </c>
      <c r="E110">
        <v>1.4700994057210699</v>
      </c>
    </row>
    <row r="111" spans="1:5">
      <c r="A111">
        <v>37</v>
      </c>
      <c r="B111">
        <v>10.146172415412</v>
      </c>
      <c r="D111">
        <v>109</v>
      </c>
      <c r="E111">
        <v>1.4928923249135699</v>
      </c>
    </row>
    <row r="112" spans="1:5">
      <c r="A112">
        <v>36</v>
      </c>
      <c r="B112">
        <v>10.246072383916401</v>
      </c>
      <c r="D112">
        <v>110</v>
      </c>
      <c r="E112">
        <v>1.5162700308417001</v>
      </c>
    </row>
    <row r="113" spans="1:5">
      <c r="A113">
        <v>35</v>
      </c>
      <c r="B113">
        <v>10.286013373979801</v>
      </c>
      <c r="D113">
        <v>111</v>
      </c>
      <c r="E113">
        <v>1.5390989231205101</v>
      </c>
    </row>
    <row r="114" spans="1:5">
      <c r="A114">
        <v>34</v>
      </c>
      <c r="B114">
        <v>10.558609016228401</v>
      </c>
      <c r="D114">
        <v>112</v>
      </c>
      <c r="E114">
        <v>1.56572356548743</v>
      </c>
    </row>
    <row r="115" spans="1:5">
      <c r="A115">
        <v>33</v>
      </c>
      <c r="B115">
        <v>10.613864110353701</v>
      </c>
      <c r="D115">
        <v>113</v>
      </c>
      <c r="E115">
        <v>1.59192250162672</v>
      </c>
    </row>
    <row r="116" spans="1:5">
      <c r="A116">
        <v>32</v>
      </c>
      <c r="B116">
        <v>10.631343506247299</v>
      </c>
      <c r="D116">
        <v>114</v>
      </c>
      <c r="E116">
        <v>1.6170253750765899</v>
      </c>
    </row>
    <row r="117" spans="1:5">
      <c r="A117">
        <v>31</v>
      </c>
      <c r="B117">
        <v>10.6462109750727</v>
      </c>
      <c r="D117">
        <v>115</v>
      </c>
      <c r="E117">
        <v>1.64106031625349</v>
      </c>
    </row>
    <row r="118" spans="1:5">
      <c r="A118">
        <v>30</v>
      </c>
      <c r="B118">
        <v>10.7853710676519</v>
      </c>
      <c r="D118">
        <v>116</v>
      </c>
      <c r="E118">
        <v>1.6662898984076899</v>
      </c>
    </row>
    <row r="119" spans="1:5">
      <c r="A119">
        <v>29</v>
      </c>
      <c r="B119">
        <v>10.833655344728999</v>
      </c>
      <c r="D119">
        <v>117</v>
      </c>
      <c r="E119">
        <v>1.6910495244521799</v>
      </c>
    </row>
    <row r="120" spans="1:5">
      <c r="A120">
        <v>28</v>
      </c>
      <c r="B120">
        <v>10.857801327392499</v>
      </c>
      <c r="D120">
        <v>118</v>
      </c>
      <c r="E120">
        <v>1.7149487677311599</v>
      </c>
    </row>
    <row r="121" spans="1:5">
      <c r="A121">
        <v>27</v>
      </c>
      <c r="B121">
        <v>10.911624035509099</v>
      </c>
      <c r="D121">
        <v>119</v>
      </c>
      <c r="E121">
        <v>1.7385411946812599</v>
      </c>
    </row>
    <row r="122" spans="1:5">
      <c r="A122">
        <v>26</v>
      </c>
      <c r="B122">
        <v>10.9513492472315</v>
      </c>
      <c r="D122">
        <v>120</v>
      </c>
      <c r="E122">
        <v>1.7616072636367499</v>
      </c>
    </row>
    <row r="123" spans="1:5">
      <c r="A123">
        <v>25</v>
      </c>
      <c r="B123">
        <v>11.0831560685782</v>
      </c>
      <c r="D123">
        <v>121</v>
      </c>
      <c r="E123">
        <v>1.7856976206975801</v>
      </c>
    </row>
    <row r="124" spans="1:5">
      <c r="A124">
        <v>24</v>
      </c>
      <c r="B124">
        <v>11.148975900821901</v>
      </c>
      <c r="D124">
        <v>122</v>
      </c>
      <c r="E124">
        <v>1.8096759338678801</v>
      </c>
    </row>
    <row r="125" spans="1:5">
      <c r="A125">
        <v>23</v>
      </c>
      <c r="B125">
        <v>11.2200512327406</v>
      </c>
      <c r="D125">
        <v>123</v>
      </c>
      <c r="E125">
        <v>1.83363243582508</v>
      </c>
    </row>
    <row r="126" spans="1:5">
      <c r="A126">
        <v>22</v>
      </c>
      <c r="B126">
        <v>11.224591343947001</v>
      </c>
      <c r="D126">
        <v>124</v>
      </c>
      <c r="E126">
        <v>1.85649799124124</v>
      </c>
    </row>
    <row r="127" spans="1:5">
      <c r="A127">
        <v>21</v>
      </c>
      <c r="B127">
        <v>11.4482216441749</v>
      </c>
      <c r="D127">
        <v>125</v>
      </c>
      <c r="E127">
        <v>1.88183602547355</v>
      </c>
    </row>
    <row r="128" spans="1:5">
      <c r="A128">
        <v>20</v>
      </c>
      <c r="B128">
        <v>11.4840834870165</v>
      </c>
      <c r="D128">
        <v>126</v>
      </c>
      <c r="E128">
        <v>1.90652776858018</v>
      </c>
    </row>
    <row r="129" spans="1:5">
      <c r="A129">
        <v>19</v>
      </c>
      <c r="B129">
        <v>11.632410183569901</v>
      </c>
      <c r="D129">
        <v>127</v>
      </c>
      <c r="E129">
        <v>1.93240687828461</v>
      </c>
    </row>
    <row r="130" spans="1:5">
      <c r="A130">
        <v>18</v>
      </c>
      <c r="B130">
        <v>11.7364791843895</v>
      </c>
      <c r="D130">
        <v>128</v>
      </c>
      <c r="E130">
        <v>1.95871662288711</v>
      </c>
    </row>
    <row r="131" spans="1:5">
      <c r="A131">
        <v>17</v>
      </c>
      <c r="B131">
        <v>11.7800273161871</v>
      </c>
      <c r="D131">
        <v>129</v>
      </c>
      <c r="E131">
        <v>1.9844706397070899</v>
      </c>
    </row>
    <row r="132" spans="1:5">
      <c r="A132">
        <v>16</v>
      </c>
      <c r="B132">
        <v>11.98043736212</v>
      </c>
      <c r="D132">
        <v>130</v>
      </c>
      <c r="E132">
        <v>2.01218808611344</v>
      </c>
    </row>
    <row r="133" spans="1:5">
      <c r="A133">
        <v>15</v>
      </c>
      <c r="B133">
        <v>13.302576699508201</v>
      </c>
      <c r="D133">
        <v>131</v>
      </c>
      <c r="E133">
        <v>2.06243702977036</v>
      </c>
    </row>
    <row r="134" spans="1:5">
      <c r="A134">
        <v>14</v>
      </c>
      <c r="B134">
        <v>13.7051107721005</v>
      </c>
      <c r="D134">
        <v>132</v>
      </c>
      <c r="E134">
        <v>2.1180834889030198</v>
      </c>
    </row>
    <row r="135" spans="1:5">
      <c r="A135">
        <v>13</v>
      </c>
      <c r="B135">
        <v>15.2649044261686</v>
      </c>
      <c r="D135">
        <v>133</v>
      </c>
      <c r="E135">
        <v>2.2057817228752201</v>
      </c>
    </row>
    <row r="136" spans="1:5">
      <c r="A136">
        <v>12</v>
      </c>
      <c r="B136">
        <v>15.345333475000301</v>
      </c>
      <c r="D136">
        <v>134</v>
      </c>
      <c r="E136">
        <v>2.28950799541385</v>
      </c>
    </row>
    <row r="137" spans="1:5">
      <c r="A137">
        <v>11</v>
      </c>
      <c r="B137">
        <v>15.5152207266557</v>
      </c>
      <c r="D137">
        <v>135</v>
      </c>
      <c r="E137">
        <v>2.3717772090873899</v>
      </c>
    </row>
    <row r="138" spans="1:5">
      <c r="A138">
        <v>10</v>
      </c>
      <c r="B138">
        <v>15.5712434017587</v>
      </c>
      <c r="D138">
        <v>136</v>
      </c>
      <c r="E138">
        <v>2.4501650692038002</v>
      </c>
    </row>
    <row r="139" spans="1:5">
      <c r="A139">
        <v>9</v>
      </c>
      <c r="B139">
        <v>16.594265001664301</v>
      </c>
      <c r="D139">
        <v>137</v>
      </c>
      <c r="E139">
        <v>2.54716177226828</v>
      </c>
    </row>
    <row r="140" spans="1:5">
      <c r="A140">
        <v>8</v>
      </c>
      <c r="B140">
        <v>17.301585445502099</v>
      </c>
      <c r="D140">
        <v>138</v>
      </c>
      <c r="E140">
        <v>2.6547171191824899</v>
      </c>
    </row>
    <row r="141" spans="1:5">
      <c r="A141">
        <v>7</v>
      </c>
      <c r="B141">
        <v>19.504664390137201</v>
      </c>
      <c r="D141">
        <v>139</v>
      </c>
      <c r="E141">
        <v>2.8123749746131201</v>
      </c>
    </row>
    <row r="142" spans="1:5">
      <c r="A142">
        <v>6</v>
      </c>
      <c r="B142">
        <v>20.618068595924498</v>
      </c>
      <c r="D142">
        <v>140</v>
      </c>
      <c r="E142">
        <v>2.9884944148225601</v>
      </c>
    </row>
    <row r="143" spans="1:5">
      <c r="A143">
        <v>5</v>
      </c>
      <c r="B143">
        <v>25.971826731016598</v>
      </c>
      <c r="D143">
        <v>141</v>
      </c>
      <c r="E143">
        <v>3.32249087473933</v>
      </c>
    </row>
    <row r="144" spans="1:5">
      <c r="A144">
        <v>4</v>
      </c>
      <c r="B144">
        <v>33.039849293306098</v>
      </c>
      <c r="D144">
        <v>142</v>
      </c>
      <c r="E144">
        <v>3.8914604312489698</v>
      </c>
    </row>
    <row r="145" spans="1:5">
      <c r="A145">
        <v>3</v>
      </c>
      <c r="B145">
        <v>62.144097856499499</v>
      </c>
      <c r="D145">
        <v>143</v>
      </c>
      <c r="E145">
        <v>5.8893048396715404</v>
      </c>
    </row>
    <row r="146" spans="1:5">
      <c r="A146">
        <v>2</v>
      </c>
      <c r="B146">
        <v>65.638919784327896</v>
      </c>
      <c r="D146">
        <v>144</v>
      </c>
      <c r="E146">
        <v>7.5034226247614697</v>
      </c>
    </row>
    <row r="147" spans="1:5">
      <c r="A147">
        <v>1</v>
      </c>
      <c r="B147">
        <v>73.967729874127201</v>
      </c>
      <c r="D147">
        <v>145</v>
      </c>
      <c r="E147">
        <v>9.1724413802767497</v>
      </c>
    </row>
    <row r="148" spans="1:5">
      <c r="A148">
        <v>0</v>
      </c>
      <c r="B148">
        <v>267.47439008997901</v>
      </c>
      <c r="D148">
        <v>146</v>
      </c>
      <c r="E148">
        <v>23.004532591854499</v>
      </c>
    </row>
    <row r="149" spans="1:5">
      <c r="E149">
        <f>MEDIAN(E2:E148)</f>
        <v>0.79817607581471195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Sorted Intensities</vt:lpstr>
      <vt:lpstr>Good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Novoselov</dc:creator>
  <cp:lastModifiedBy>Konstantin Novoselov</cp:lastModifiedBy>
  <dcterms:created xsi:type="dcterms:W3CDTF">2014-02-27T18:31:27Z</dcterms:created>
  <dcterms:modified xsi:type="dcterms:W3CDTF">2014-02-28T18:36:48Z</dcterms:modified>
</cp:coreProperties>
</file>